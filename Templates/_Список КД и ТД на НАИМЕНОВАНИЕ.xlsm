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\Templates\"/>
    </mc:Choice>
  </mc:AlternateContent>
  <xr:revisionPtr revIDLastSave="0" documentId="13_ncr:1_{AC193094-514C-4C7F-BA3E-0E70A4D6BF31}" xr6:coauthVersionLast="47" xr6:coauthVersionMax="47" xr10:uidLastSave="{00000000-0000-0000-0000-000000000000}"/>
  <bookViews>
    <workbookView xWindow="-28920" yWindow="30" windowWidth="29040" windowHeight="15840" tabRatio="813" xr2:uid="{00000000-000D-0000-FFFF-FFFF00000000}"/>
  </bookViews>
  <sheets>
    <sheet name="Исходные данные" sheetId="176" r:id="rId1"/>
    <sheet name="Статистика" sheetId="177" r:id="rId2"/>
    <sheet name="Статус" sheetId="178" r:id="rId3"/>
    <sheet name="Настройки" sheetId="181" r:id="rId4"/>
    <sheet name="Персональные настройки" sheetId="175" state="hidden" r:id="rId5"/>
    <sheet name="Типы" sheetId="179" state="hidden" r:id="rId6"/>
  </sheets>
  <functionGroups builtInGroupCount="19"/>
  <definedNames>
    <definedName name="_xlnm._FilterDatabase" localSheetId="0" hidden="1">'Исходные данные'!$A$5:$NK$5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81" l="1"/>
  <c r="B6" i="181"/>
  <c r="B5" i="181"/>
  <c r="B4" i="181"/>
  <c r="B1" i="181"/>
  <c r="NL4" i="176"/>
  <c r="NL4" i="175"/>
</calcChain>
</file>

<file path=xl/sharedStrings.xml><?xml version="1.0" encoding="utf-8"?>
<sst xmlns="http://schemas.openxmlformats.org/spreadsheetml/2006/main" count="1128" uniqueCount="480">
  <si>
    <t>Наименование</t>
  </si>
  <si>
    <t>СБ</t>
  </si>
  <si>
    <t>Уровень</t>
  </si>
  <si>
    <t>Децимальный номер КД</t>
  </si>
  <si>
    <t>ГЧ</t>
  </si>
  <si>
    <t>Э4</t>
  </si>
  <si>
    <t>ПЭ4</t>
  </si>
  <si>
    <t>ВС</t>
  </si>
  <si>
    <t>ВП</t>
  </si>
  <si>
    <t>Прим.</t>
  </si>
  <si>
    <t>Децимальный номер ТД</t>
  </si>
  <si>
    <t>Дата</t>
  </si>
  <si>
    <t>ФИО</t>
  </si>
  <si>
    <t>Данные для МК</t>
  </si>
  <si>
    <t>Код операций</t>
  </si>
  <si>
    <t>И2</t>
  </si>
  <si>
    <t>Чему?</t>
  </si>
  <si>
    <t>Что?</t>
  </si>
  <si>
    <t>Чего?</t>
  </si>
  <si>
    <t>База архива</t>
  </si>
  <si>
    <t>План РКД</t>
  </si>
  <si>
    <t>Замечание по КД от ОГТ</t>
  </si>
  <si>
    <t>Наличие КД в ОГТ</t>
  </si>
  <si>
    <t>Исполнитель РКД</t>
  </si>
  <si>
    <t>Дата сдачи РКД в архив</t>
  </si>
  <si>
    <t>Примечание</t>
  </si>
  <si>
    <t>Время поступления</t>
  </si>
  <si>
    <t>Первичное применение</t>
  </si>
  <si>
    <t>Исполнитель-разработчик изделия</t>
  </si>
  <si>
    <t>PLM</t>
  </si>
  <si>
    <t>Изделие</t>
  </si>
  <si>
    <t>Инв №</t>
  </si>
  <si>
    <t>Ссылка на ТД</t>
  </si>
  <si>
    <t>Первичная применяемость
(ДН в спецификации)</t>
  </si>
  <si>
    <t>Доп. данные</t>
  </si>
  <si>
    <t>ЭД</t>
  </si>
  <si>
    <t>Электронная модель сборочной единицы</t>
  </si>
  <si>
    <t>Чертеж</t>
  </si>
  <si>
    <t>Ведомость</t>
  </si>
  <si>
    <t>Пояснительная записка</t>
  </si>
  <si>
    <t>Технические условия</t>
  </si>
  <si>
    <t>Программа и методика испытаний</t>
  </si>
  <si>
    <t>Таблицы</t>
  </si>
  <si>
    <t>Расчеты</t>
  </si>
  <si>
    <t>Инструкция</t>
  </si>
  <si>
    <t>Документы (прочие)</t>
  </si>
  <si>
    <t>Руководство по эксплуатации</t>
  </si>
  <si>
    <t>Формуляр</t>
  </si>
  <si>
    <t>Паспорт</t>
  </si>
  <si>
    <t>Этикетка</t>
  </si>
  <si>
    <t>Каталог деталей и сборочных единиц</t>
  </si>
  <si>
    <t>Нормы расхода запасных частей</t>
  </si>
  <si>
    <t>Нормы расхода материалов</t>
  </si>
  <si>
    <t>Ведомость ЗИП</t>
  </si>
  <si>
    <t>Учебно-технические плакаты</t>
  </si>
  <si>
    <t>Сборочный</t>
  </si>
  <si>
    <t>Общего вида</t>
  </si>
  <si>
    <t>Теоритический</t>
  </si>
  <si>
    <t>Габаритный</t>
  </si>
  <si>
    <t>Электро
монтажный</t>
  </si>
  <si>
    <t>Монтажный</t>
  </si>
  <si>
    <t>Упаковочный</t>
  </si>
  <si>
    <t>Спецификаций</t>
  </si>
  <si>
    <t>Ссылочных документов</t>
  </si>
  <si>
    <t>Покупных изделий</t>
  </si>
  <si>
    <t>Разр. прим. покупных изделий</t>
  </si>
  <si>
    <t>Держателей подлинников</t>
  </si>
  <si>
    <t>Технического предложения</t>
  </si>
  <si>
    <t>Эскизного проекта</t>
  </si>
  <si>
    <t>Технического проекта</t>
  </si>
  <si>
    <t>Электронных документов</t>
  </si>
  <si>
    <t>Перечень элементов</t>
  </si>
  <si>
    <t>ЭСБ</t>
  </si>
  <si>
    <t>ВО</t>
  </si>
  <si>
    <t>ТЧ</t>
  </si>
  <si>
    <t>МЭ</t>
  </si>
  <si>
    <t>МЧ</t>
  </si>
  <si>
    <t>УЧ</t>
  </si>
  <si>
    <t>ВД</t>
  </si>
  <si>
    <t>ВИ</t>
  </si>
  <si>
    <t>ДП</t>
  </si>
  <si>
    <t>ПТ</t>
  </si>
  <si>
    <t>ЭП</t>
  </si>
  <si>
    <t>ТП</t>
  </si>
  <si>
    <t>ВДЭ</t>
  </si>
  <si>
    <t>ПЗ</t>
  </si>
  <si>
    <t>ТУ</t>
  </si>
  <si>
    <t>ПМ</t>
  </si>
  <si>
    <t>ТБ</t>
  </si>
  <si>
    <t>РР</t>
  </si>
  <si>
    <t>И1</t>
  </si>
  <si>
    <t>И3</t>
  </si>
  <si>
    <t>И4</t>
  </si>
  <si>
    <t>И5</t>
  </si>
  <si>
    <t>Д1</t>
  </si>
  <si>
    <t>Э0</t>
  </si>
  <si>
    <t>ПЭ0</t>
  </si>
  <si>
    <t>Э1</t>
  </si>
  <si>
    <t>ПЭ1</t>
  </si>
  <si>
    <t>Э2</t>
  </si>
  <si>
    <t>ПЭ2</t>
  </si>
  <si>
    <t>Э3</t>
  </si>
  <si>
    <t>ПЭ3</t>
  </si>
  <si>
    <t>Э5</t>
  </si>
  <si>
    <t>ПЭ5</t>
  </si>
  <si>
    <t>Э6</t>
  </si>
  <si>
    <t>ПЭ6</t>
  </si>
  <si>
    <t>Э7</t>
  </si>
  <si>
    <t>ПЭ7</t>
  </si>
  <si>
    <t>Г0</t>
  </si>
  <si>
    <t>ПГ0</t>
  </si>
  <si>
    <t>Г1</t>
  </si>
  <si>
    <t>ПГ1</t>
  </si>
  <si>
    <t>Г2</t>
  </si>
  <si>
    <t>ПГ2</t>
  </si>
  <si>
    <t>Г3</t>
  </si>
  <si>
    <t>ПГ3</t>
  </si>
  <si>
    <t>Г4</t>
  </si>
  <si>
    <t>ПГ4</t>
  </si>
  <si>
    <t>Г5</t>
  </si>
  <si>
    <t>ПГ5</t>
  </si>
  <si>
    <t>Г6</t>
  </si>
  <si>
    <t>ПГ6</t>
  </si>
  <si>
    <t>Г7</t>
  </si>
  <si>
    <t>ПГ7</t>
  </si>
  <si>
    <t>П0</t>
  </si>
  <si>
    <t>П1</t>
  </si>
  <si>
    <t>П2</t>
  </si>
  <si>
    <t>П3</t>
  </si>
  <si>
    <t>П4</t>
  </si>
  <si>
    <t>П5</t>
  </si>
  <si>
    <t>П6</t>
  </si>
  <si>
    <t>П7</t>
  </si>
  <si>
    <t>Х0</t>
  </si>
  <si>
    <t>ПХ0</t>
  </si>
  <si>
    <t>Х1</t>
  </si>
  <si>
    <t>ПХ1</t>
  </si>
  <si>
    <t>Х2</t>
  </si>
  <si>
    <t>ПХ2</t>
  </si>
  <si>
    <t>Х3</t>
  </si>
  <si>
    <t>ПХ3</t>
  </si>
  <si>
    <t>Х4</t>
  </si>
  <si>
    <t>ПХ4</t>
  </si>
  <si>
    <t>Х5</t>
  </si>
  <si>
    <t>ПХ5</t>
  </si>
  <si>
    <t>Х6</t>
  </si>
  <si>
    <t>ПХ6</t>
  </si>
  <si>
    <t>Х7</t>
  </si>
  <si>
    <t>ПХ7</t>
  </si>
  <si>
    <t>К0</t>
  </si>
  <si>
    <t>ПК0</t>
  </si>
  <si>
    <t>К1</t>
  </si>
  <si>
    <t>ПК1</t>
  </si>
  <si>
    <t>К2</t>
  </si>
  <si>
    <t>ПК2</t>
  </si>
  <si>
    <t>К3</t>
  </si>
  <si>
    <t>ПК3</t>
  </si>
  <si>
    <t>К4</t>
  </si>
  <si>
    <t>ПК4</t>
  </si>
  <si>
    <t>К5</t>
  </si>
  <si>
    <t>ПК5</t>
  </si>
  <si>
    <t>К6</t>
  </si>
  <si>
    <t>ПК6</t>
  </si>
  <si>
    <t>К7</t>
  </si>
  <si>
    <t>ПК7</t>
  </si>
  <si>
    <t>В0</t>
  </si>
  <si>
    <t>ПВ0</t>
  </si>
  <si>
    <t>В1</t>
  </si>
  <si>
    <t>ПВ1</t>
  </si>
  <si>
    <t>В2</t>
  </si>
  <si>
    <t>ПВ2</t>
  </si>
  <si>
    <t>В3</t>
  </si>
  <si>
    <t>ПВ3</t>
  </si>
  <si>
    <t>В4</t>
  </si>
  <si>
    <t>ПВ4</t>
  </si>
  <si>
    <t>В5</t>
  </si>
  <si>
    <t>ПВ5</t>
  </si>
  <si>
    <t>В6</t>
  </si>
  <si>
    <t>ПВ6</t>
  </si>
  <si>
    <t>В7</t>
  </si>
  <si>
    <t>ПВ7</t>
  </si>
  <si>
    <t>Л0</t>
  </si>
  <si>
    <t>ПЛ0</t>
  </si>
  <si>
    <t>Л1</t>
  </si>
  <si>
    <t>ПЛ1</t>
  </si>
  <si>
    <t>Л2</t>
  </si>
  <si>
    <t>ПЛ2</t>
  </si>
  <si>
    <t>Л3</t>
  </si>
  <si>
    <t>ПЛ3</t>
  </si>
  <si>
    <t>Л4</t>
  </si>
  <si>
    <t>ПЛ4</t>
  </si>
  <si>
    <t>Л5</t>
  </si>
  <si>
    <t>ПЛ5</t>
  </si>
  <si>
    <t>Л6</t>
  </si>
  <si>
    <t>ПЛ6</t>
  </si>
  <si>
    <t>Л7</t>
  </si>
  <si>
    <t>ПЛ7</t>
  </si>
  <si>
    <t>Р0</t>
  </si>
  <si>
    <t>ПР0</t>
  </si>
  <si>
    <t>Р1</t>
  </si>
  <si>
    <t>ПР1</t>
  </si>
  <si>
    <t>Р2</t>
  </si>
  <si>
    <t>ПР2</t>
  </si>
  <si>
    <t>Р3</t>
  </si>
  <si>
    <t>ПР3</t>
  </si>
  <si>
    <t>Р4</t>
  </si>
  <si>
    <t>ПР4</t>
  </si>
  <si>
    <t>Р5</t>
  </si>
  <si>
    <t>ПР5</t>
  </si>
  <si>
    <t>Р6</t>
  </si>
  <si>
    <t>ПР6</t>
  </si>
  <si>
    <t>Р7</t>
  </si>
  <si>
    <t>ПР7</t>
  </si>
  <si>
    <t>Е0</t>
  </si>
  <si>
    <t>ПЕ0</t>
  </si>
  <si>
    <t>Е1</t>
  </si>
  <si>
    <t>ПЕ1</t>
  </si>
  <si>
    <t>Е2</t>
  </si>
  <si>
    <t>ПЕ2</t>
  </si>
  <si>
    <t>Е3</t>
  </si>
  <si>
    <t>ПЕ3</t>
  </si>
  <si>
    <t>Е4</t>
  </si>
  <si>
    <t>ПЕ4</t>
  </si>
  <si>
    <t>Е5</t>
  </si>
  <si>
    <t>ПЕ5</t>
  </si>
  <si>
    <t>Е6</t>
  </si>
  <si>
    <t>ПЕ6</t>
  </si>
  <si>
    <t>Е7</t>
  </si>
  <si>
    <t>ПЕ7</t>
  </si>
  <si>
    <t>С0</t>
  </si>
  <si>
    <t>ПС0</t>
  </si>
  <si>
    <t>С1</t>
  </si>
  <si>
    <t>ПС1</t>
  </si>
  <si>
    <t>С2</t>
  </si>
  <si>
    <t>ПС2</t>
  </si>
  <si>
    <t>С3</t>
  </si>
  <si>
    <t>ПС3</t>
  </si>
  <si>
    <t>С4</t>
  </si>
  <si>
    <t>ПС4</t>
  </si>
  <si>
    <t>С5</t>
  </si>
  <si>
    <t>ПС5</t>
  </si>
  <si>
    <t>С6</t>
  </si>
  <si>
    <t>ПС6</t>
  </si>
  <si>
    <t>С7</t>
  </si>
  <si>
    <t>ПС7</t>
  </si>
  <si>
    <t>РЭ</t>
  </si>
  <si>
    <t>ИМ</t>
  </si>
  <si>
    <t>ФО</t>
  </si>
  <si>
    <t>ПС</t>
  </si>
  <si>
    <t>ЭТ</t>
  </si>
  <si>
    <t>КДС</t>
  </si>
  <si>
    <t>НЗЧ</t>
  </si>
  <si>
    <t>НМ</t>
  </si>
  <si>
    <t>ЗИ</t>
  </si>
  <si>
    <t>УП</t>
  </si>
  <si>
    <t>ИС</t>
  </si>
  <si>
    <t>ВЭ</t>
  </si>
  <si>
    <t>ТД разработано в рамках работы над изделием</t>
  </si>
  <si>
    <t>Наименование ОКР (НИР), ГК, ответственный исполнитель</t>
  </si>
  <si>
    <t>Уровень
идентификатор</t>
  </si>
  <si>
    <t>Количество</t>
  </si>
  <si>
    <t>Схема</t>
  </si>
  <si>
    <t>Электрическая объединенная</t>
  </si>
  <si>
    <t>Электрическая структурная</t>
  </si>
  <si>
    <t>Электрическая функциональная</t>
  </si>
  <si>
    <t>Электрическая принципиальная</t>
  </si>
  <si>
    <t>Электрическая соединений</t>
  </si>
  <si>
    <t>Электрическая подключения</t>
  </si>
  <si>
    <t>Электрическая общая</t>
  </si>
  <si>
    <t>Электрическая расположения</t>
  </si>
  <si>
    <t>Гидравлическая объединенная</t>
  </si>
  <si>
    <t>Гидравлическая структурная</t>
  </si>
  <si>
    <t>Гидравлическая функциональная</t>
  </si>
  <si>
    <t>Гидравлическая принципиальная</t>
  </si>
  <si>
    <t>Гидравлическая соединений</t>
  </si>
  <si>
    <t>Гидравлическая подключения</t>
  </si>
  <si>
    <t>Гидравлическая общая</t>
  </si>
  <si>
    <t>Гидравлическая расположения</t>
  </si>
  <si>
    <t>Пневматическая объединенная</t>
  </si>
  <si>
    <t>Пневматическая структурная</t>
  </si>
  <si>
    <t>Пневматическая функциональная</t>
  </si>
  <si>
    <t>Пневматическая принципиальная</t>
  </si>
  <si>
    <t>Пневматическая соединений</t>
  </si>
  <si>
    <t>Пневматическая подключения</t>
  </si>
  <si>
    <t>Пневматическая общая</t>
  </si>
  <si>
    <t>Пневматическая расположения</t>
  </si>
  <si>
    <t>Газовая объединенная</t>
  </si>
  <si>
    <t>Газовая структурная</t>
  </si>
  <si>
    <t>Газовая функциональная</t>
  </si>
  <si>
    <t>Газовая принципиальная</t>
  </si>
  <si>
    <t>Газовая соединений</t>
  </si>
  <si>
    <t>Газовая подключения</t>
  </si>
  <si>
    <t>Газовая общая</t>
  </si>
  <si>
    <t>Газовая расположения</t>
  </si>
  <si>
    <t>Кинематическая объединенная</t>
  </si>
  <si>
    <t>Кинематическая структурная</t>
  </si>
  <si>
    <t>Кинематическая функциональная</t>
  </si>
  <si>
    <t>Кинематическая принципиальная</t>
  </si>
  <si>
    <t>Кинематическая соединений</t>
  </si>
  <si>
    <t>Кинематическая подключения</t>
  </si>
  <si>
    <t>Кинематическая общая</t>
  </si>
  <si>
    <t>Кинематическая расположения</t>
  </si>
  <si>
    <t>Вакуумная объединенная</t>
  </si>
  <si>
    <t>Вакуумная структурная</t>
  </si>
  <si>
    <t>Вакуумная функциональная</t>
  </si>
  <si>
    <t>Вакуумная принципиальная</t>
  </si>
  <si>
    <t>Вакуумная соединений</t>
  </si>
  <si>
    <t>Вакуумная подключения</t>
  </si>
  <si>
    <t>Вакуумная общая</t>
  </si>
  <si>
    <t>Вакуумная расположения</t>
  </si>
  <si>
    <t>Оптическая объединенная</t>
  </si>
  <si>
    <t>Оптическая структурная</t>
  </si>
  <si>
    <t>Оптическая функциональная</t>
  </si>
  <si>
    <t>Оптическая принципиальная</t>
  </si>
  <si>
    <t>Оптическая соединений</t>
  </si>
  <si>
    <t>Оптическая подключения</t>
  </si>
  <si>
    <t>Оптическая общая</t>
  </si>
  <si>
    <t>Оптическая расположения</t>
  </si>
  <si>
    <t>Энергетическая объединенная</t>
  </si>
  <si>
    <t>Энергетическая структурная</t>
  </si>
  <si>
    <t>Энергетическая функциональная</t>
  </si>
  <si>
    <t>Энергетическая принципиальная</t>
  </si>
  <si>
    <t>Энергетическая соединений</t>
  </si>
  <si>
    <t>Энергетическая подключения</t>
  </si>
  <si>
    <t>Энергетическая общая</t>
  </si>
  <si>
    <t>Энергетическая расположения</t>
  </si>
  <si>
    <t>Деления объединенная</t>
  </si>
  <si>
    <t>Деления структурная</t>
  </si>
  <si>
    <t>Деления функциональная</t>
  </si>
  <si>
    <t>Деления принципиальная</t>
  </si>
  <si>
    <t>Деления соединений</t>
  </si>
  <si>
    <t>Деления подключения</t>
  </si>
  <si>
    <t>Деления общая</t>
  </si>
  <si>
    <t>Деления расположения</t>
  </si>
  <si>
    <t>Комбинированная объединенная</t>
  </si>
  <si>
    <t>Комбинированная структурная</t>
  </si>
  <si>
    <t>Комбинированная функциональная</t>
  </si>
  <si>
    <t>Комбинированная принципиальная</t>
  </si>
  <si>
    <t>Комбинированная соединений</t>
  </si>
  <si>
    <t>Комбинированная подключения</t>
  </si>
  <si>
    <t>Комбинированная общая</t>
  </si>
  <si>
    <t>Комбинированная расположения</t>
  </si>
  <si>
    <t>Ведомость экспл. документов</t>
  </si>
  <si>
    <t>Инструкции экспл. специальные</t>
  </si>
  <si>
    <t>Инструкция по монтажу, пуску, регул. и обкатке изделия</t>
  </si>
  <si>
    <t>Инв. номер КД в архиве РКД согласно СП</t>
  </si>
  <si>
    <t>ФИО КД</t>
  </si>
  <si>
    <t>Даты КД</t>
  </si>
  <si>
    <t>Разраб.</t>
  </si>
  <si>
    <t>Пров.</t>
  </si>
  <si>
    <t>Н. контр.</t>
  </si>
  <si>
    <t>Утв.</t>
  </si>
  <si>
    <t>Архив</t>
  </si>
  <si>
    <t>Изм.</t>
  </si>
  <si>
    <t>Вид согласно разделу СП</t>
  </si>
  <si>
    <t>subtotal(RC[2])</t>
  </si>
  <si>
    <t>СП</t>
  </si>
  <si>
    <t>КД</t>
  </si>
  <si>
    <t>Кем выпущен</t>
  </si>
  <si>
    <t>№ Изм.</t>
  </si>
  <si>
    <t>Кол-во листов</t>
  </si>
  <si>
    <t>Тип ТД по виду документа</t>
  </si>
  <si>
    <t>Тип ТД по организации ТП</t>
  </si>
  <si>
    <t>Тип ТД по методу  выполнения</t>
  </si>
  <si>
    <t>Дата контроля состояния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</si>
  <si>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</si>
  <si>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</si>
  <si>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</si>
  <si>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</si>
  <si>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</si>
  <si>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</si>
  <si>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</si>
  <si>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</si>
  <si>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</si>
  <si>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</si>
  <si>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Данные для МК/ОК</t>
  </si>
  <si>
    <t>Текст операции</t>
  </si>
  <si>
    <t>Статус</t>
  </si>
  <si>
    <t>Количество исполнителей</t>
  </si>
  <si>
    <t>Код пооперационных норм времени</t>
  </si>
  <si>
    <t>Нормы штучного времени на операции (по расшифровкам)</t>
  </si>
  <si>
    <t>Сумма пооперационных норм времени</t>
  </si>
  <si>
    <t>Вид сб.ед. / материал делати</t>
  </si>
  <si>
    <t>Участок сб.ед. / масса детали</t>
  </si>
  <si>
    <t>Нормоконтроль</t>
  </si>
  <si>
    <t>Зарегистрировал</t>
  </si>
  <si>
    <t>Разработал</t>
  </si>
  <si>
    <t>Проверил</t>
  </si>
  <si>
    <t>Утвердил</t>
  </si>
  <si>
    <t>Архив Инв№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</si>
  <si>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</si>
  <si>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</si>
  <si>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</si>
  <si>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</si>
  <si>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</si>
  <si>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</si>
  <si>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</si>
  <si>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</si>
  <si>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</si>
  <si>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</si>
  <si>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</si>
  <si>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</si>
  <si>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</si>
  <si>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</si>
  <si>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-</t>
  </si>
  <si>
    <t>Нормы штучного времени
расчетные</t>
  </si>
  <si>
    <t>Нормы штучного времени</t>
  </si>
  <si>
    <t>Состояние КД
(спецификации)</t>
  </si>
  <si>
    <t>№ Служебной записки</t>
  </si>
  <si>
    <t>Дата передачи в ОГТ</t>
  </si>
  <si>
    <t>Состояние ТД по PLM</t>
  </si>
  <si>
    <t>Дата последнего изменения по PLM</t>
  </si>
  <si>
    <r>
      <rPr>
        <b/>
        <sz val="12"/>
        <color theme="1"/>
        <rFont val="GOST type A"/>
        <family val="2"/>
        <charset val="204"/>
      </rPr>
      <t xml:space="preserve">
Состояние КД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</si>
  <si>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ОГТ)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</si>
  <si>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</si>
  <si>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t>Дата последней актуализации</t>
  </si>
  <si>
    <t>Комментарий
(что изменилось)</t>
  </si>
  <si>
    <t>Дата
комментария</t>
  </si>
  <si>
    <t>В архиве</t>
  </si>
  <si>
    <t>Имя пользователя</t>
  </si>
  <si>
    <t>Лебедев Борис Юрьевич</t>
  </si>
  <si>
    <t>Показывать мои столбцы первыми?</t>
  </si>
  <si>
    <t>Ларин Андрей Анатольевич</t>
  </si>
  <si>
    <t>Приоритет</t>
  </si>
  <si>
    <t>Статус КД утверждено?</t>
  </si>
  <si>
    <t>Есть ДН ТД?</t>
  </si>
  <si>
    <t>ТД НЕ типовая?</t>
  </si>
  <si>
    <t>Есть дата в ТД?</t>
  </si>
  <si>
    <t>ТД новее КД?</t>
  </si>
  <si>
    <t>Есть архивный номер?</t>
  </si>
  <si>
    <t>Совпадает ДН ТД и ДН ТД в архиве?</t>
  </si>
  <si>
    <t>Ожидание утверждения КД</t>
  </si>
  <si>
    <t>НЕТ</t>
  </si>
  <si>
    <t>ДА</t>
  </si>
  <si>
    <t>Установить дату последнего изменения ТД</t>
  </si>
  <si>
    <t>Актуализировать</t>
  </si>
  <si>
    <t>Есть КД</t>
  </si>
  <si>
    <t>Отсутствие КД</t>
  </si>
  <si>
    <t>ТД в разработке</t>
  </si>
  <si>
    <t>Статус сборочной единицы</t>
  </si>
  <si>
    <t>ДН ТД не соответствует ДН в архиве</t>
  </si>
  <si>
    <t>Статус ТД утверждено или выше ?</t>
  </si>
  <si>
    <t>№</t>
  </si>
  <si>
    <t>Количество, шт</t>
  </si>
  <si>
    <t>Количество, %</t>
  </si>
  <si>
    <t>Количество уникальных сборочных единиц</t>
  </si>
  <si>
    <t>Количество сборочных единиц</t>
  </si>
  <si>
    <t>КТТП</t>
  </si>
  <si>
    <t>Разработать</t>
  </si>
  <si>
    <t>Количество не уникальных сборочных единиц</t>
  </si>
  <si>
    <t>Архивирование ТД</t>
  </si>
  <si>
    <t>Разработка ТД</t>
  </si>
  <si>
    <t>Отсутствие утвержденной КД</t>
  </si>
  <si>
    <t>Статус для отчета</t>
  </si>
  <si>
    <t>Группа для отчета</t>
  </si>
  <si>
    <t>Распределение сборочных единиц по уникальности</t>
  </si>
  <si>
    <t>Распределение уникальных сборочных единиц по состояниям</t>
  </si>
  <si>
    <t>Распределение уникальных сборочных единиц по состояниям (подробное)</t>
  </si>
  <si>
    <t>В составе МК верхнего уровня</t>
  </si>
  <si>
    <t>Составная?</t>
  </si>
  <si>
    <t>Д23</t>
  </si>
  <si>
    <t>default</t>
  </si>
  <si>
    <t>Шемякин Александр Николаевич</t>
  </si>
  <si>
    <t>Не входит в состав МК</t>
  </si>
  <si>
    <t>Игнатьев Никита Андреевич</t>
  </si>
  <si>
    <t>Дата передачи в Архив ОГТ</t>
  </si>
  <si>
    <t>Ануфриев Максим Сергеевич</t>
  </si>
  <si>
    <t>Мальцева Надежда Сергеевна</t>
  </si>
  <si>
    <t>ПКИ</t>
  </si>
  <si>
    <t>кабель (внутриблочный)</t>
  </si>
  <si>
    <t>База Архива</t>
  </si>
  <si>
    <t>Списки КД и ТД</t>
  </si>
  <si>
    <t>ТД</t>
  </si>
  <si>
    <t>База Архива (путь)</t>
  </si>
  <si>
    <t>Выгрузки из PLM</t>
  </si>
  <si>
    <t>Выгрузки из PLM (путь)</t>
  </si>
  <si>
    <t>TestPath</t>
  </si>
  <si>
    <t>E:\Test Folder\Projects\TreeView\TestData\</t>
  </si>
  <si>
    <t>TechDocData.xlsm</t>
  </si>
  <si>
    <t>PLM.xlsm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</si>
</sst>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GOST type A"/>
      <family val="2"/>
      <charset val="204"/>
    </font>
    <font>
      <sz val="12"/>
      <name val="GOST type A"/>
      <family val="2"/>
      <charset val="204"/>
    </font>
    <font>
      <sz val="14"/>
      <color theme="1"/>
      <name val="GOST type A"/>
      <family val="2"/>
      <charset val="204"/>
    </font>
    <font>
      <sz val="10"/>
      <color theme="1"/>
      <name val="GOST type A"/>
      <family val="2"/>
      <charset val="204"/>
    </font>
    <font>
      <b/>
      <sz val="12"/>
      <color theme="1"/>
      <name val="GOST type A"/>
      <family val="2"/>
      <charset val="204"/>
    </font>
    <font>
      <b/>
      <sz val="11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ГОСТ тип А"/>
      <family val="2"/>
      <charset val="204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5" fillId="0" borderId="0"/>
    <xf numFmtId="0" fontId="4" fillId="0" borderId="0"/>
    <xf numFmtId="0" fontId="16" fillId="0" borderId="0" applyNumberFormat="0" applyFill="0" applyBorder="0" applyAlignment="0" applyProtection="0"/>
  </cellStyleXfs>
  <cellXfs count="140">
    <xf numFmtId="0" fontId="0" fillId="0" borderId="0" xfId="0"/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textRotation="90" wrapText="1"/>
    </xf>
    <xf numFmtId="164" fontId="9" fillId="0" borderId="1" xfId="0" applyNumberFormat="1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textRotation="90" wrapText="1"/>
    </xf>
    <xf numFmtId="0" fontId="6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left" vertical="center"/>
    </xf>
    <xf numFmtId="49" fontId="12" fillId="0" borderId="1" xfId="2" applyNumberFormat="1" applyFont="1" applyBorder="1" applyAlignment="1">
      <alignment horizontal="center" vertical="center" wrapText="1"/>
    </xf>
    <xf numFmtId="49" fontId="12" fillId="0" borderId="0" xfId="2" applyNumberFormat="1" applyFont="1" applyAlignment="1">
      <alignment horizontal="center" vertical="center" wrapText="1"/>
    </xf>
    <xf numFmtId="49" fontId="12" fillId="0" borderId="0" xfId="2" applyNumberFormat="1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49" fontId="4" fillId="0" borderId="0" xfId="2" applyNumberFormat="1" applyAlignment="1">
      <alignment horizontal="center" vertical="center" wrapText="1"/>
    </xf>
    <xf numFmtId="49" fontId="4" fillId="0" borderId="0" xfId="2" applyNumberFormat="1" applyAlignment="1">
      <alignment vertical="center" wrapText="1"/>
    </xf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49" fontId="4" fillId="0" borderId="1" xfId="2" applyNumberFormat="1" applyBorder="1" applyAlignment="1">
      <alignment horizontal="center" vertical="center" wrapText="1"/>
    </xf>
    <xf numFmtId="0" fontId="4" fillId="0" borderId="1" xfId="2" applyBorder="1" applyAlignment="1">
      <alignment horizontal="left" vertical="center"/>
    </xf>
    <xf numFmtId="49" fontId="4" fillId="0" borderId="0" xfId="2" applyNumberFormat="1" applyAlignment="1">
      <alignment horizontal="left" vertical="center" wrapText="1"/>
    </xf>
    <xf numFmtId="0" fontId="4" fillId="0" borderId="0" xfId="2" applyAlignment="1">
      <alignment horizontal="left" vertical="center"/>
    </xf>
    <xf numFmtId="0" fontId="4" fillId="0" borderId="1" xfId="2" applyBorder="1" applyAlignment="1">
      <alignment vertical="center"/>
    </xf>
    <xf numFmtId="0" fontId="4" fillId="2" borderId="1" xfId="2" applyFill="1" applyBorder="1" applyAlignment="1">
      <alignment horizontal="center" vertical="center"/>
    </xf>
    <xf numFmtId="0" fontId="4" fillId="3" borderId="1" xfId="2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3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2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165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0" borderId="1" xfId="2" applyFont="1" applyBorder="1" applyAlignment="1">
      <alignment vertical="center"/>
    </xf>
    <xf numFmtId="49" fontId="1" fillId="0" borderId="1" xfId="2" applyNumberFormat="1" applyFont="1" applyBorder="1" applyAlignment="1">
      <alignment horizontal="center" vertical="center" wrapText="1"/>
    </xf>
    <xf numFmtId="9" fontId="13" fillId="2" borderId="1" xfId="0" applyNumberFormat="1" applyFont="1" applyFill="1" applyBorder="1" applyAlignment="1">
      <alignment horizontal="center" vertical="center"/>
    </xf>
    <xf numFmtId="9" fontId="13" fillId="2" borderId="0" xfId="0" applyNumberFormat="1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16" fillId="0" borderId="0" xfId="3"/>
    <xf numFmtId="49" fontId="9" fillId="0" borderId="2" xfId="0" applyNumberFormat="1" applyFont="1" applyBorder="1" applyAlignment="1">
      <alignment horizontal="center" vertical="center" textRotation="90" wrapText="1"/>
    </xf>
    <xf numFmtId="49" fontId="9" fillId="0" borderId="3" xfId="0" applyNumberFormat="1" applyFont="1" applyBorder="1" applyAlignment="1">
      <alignment horizontal="center" vertical="center" textRotation="90" wrapText="1"/>
    </xf>
    <xf numFmtId="49" fontId="9" fillId="0" borderId="8" xfId="0" applyNumberFormat="1" applyFont="1" applyBorder="1" applyAlignment="1">
      <alignment horizontal="center" vertical="center" textRotation="90" wrapText="1"/>
    </xf>
    <xf numFmtId="49" fontId="9" fillId="0" borderId="9" xfId="0" applyNumberFormat="1" applyFont="1" applyBorder="1" applyAlignment="1">
      <alignment horizontal="center" vertical="center" textRotation="90" wrapText="1"/>
    </xf>
    <xf numFmtId="49" fontId="9" fillId="0" borderId="7" xfId="0" applyNumberFormat="1" applyFont="1" applyBorder="1" applyAlignment="1">
      <alignment horizontal="center" vertical="center" textRotation="90" wrapText="1"/>
    </xf>
    <xf numFmtId="49" fontId="9" fillId="0" borderId="10" xfId="0" applyNumberFormat="1" applyFont="1" applyBorder="1" applyAlignment="1">
      <alignment horizontal="center" vertical="center" textRotation="90" wrapText="1"/>
    </xf>
    <xf numFmtId="49" fontId="9" fillId="0" borderId="11" xfId="0" applyNumberFormat="1" applyFont="1" applyBorder="1" applyAlignment="1">
      <alignment horizontal="center" vertical="center" textRotation="90" wrapText="1"/>
    </xf>
    <xf numFmtId="49" fontId="9" fillId="0" borderId="12" xfId="0" applyNumberFormat="1" applyFont="1" applyBorder="1" applyAlignment="1">
      <alignment horizontal="center" vertical="center" textRotation="90" wrapText="1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textRotation="90" wrapText="1"/>
    </xf>
    <xf numFmtId="14" fontId="6" fillId="0" borderId="13" xfId="0" applyNumberFormat="1" applyFont="1" applyBorder="1" applyAlignment="1">
      <alignment horizontal="center" vertical="center" textRotation="90" wrapText="1"/>
    </xf>
    <xf numFmtId="0" fontId="10" fillId="0" borderId="2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textRotation="90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</cellXfs>
  <cellStyles count="4">
    <cellStyle name="Гиперссылка" xfId="3" builtinId="8"/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colors>
    <mruColors>
      <color rgb="FFFF8585"/>
      <color rgb="FFFF4B4B"/>
      <color rgb="FF26262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</a:t>
            </a:r>
            <a:r>
              <a:rPr lang="ru-RU" b="1" baseline="0"/>
              <a:t> уникальных сборочных единиц по состояниям (подробное)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00-4E59-8B87-4E2E7894508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9300-4E59-8B87-4E2E7894508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6350">
                <a:solidFill>
                  <a:schemeClr val="bg1">
                    <a:lumMod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5-9300-4E59-8B87-4E2E7894508F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00-4E59-8B87-4E2E7894508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00-4E59-8B87-4E2E7894508F}"/>
              </c:ext>
            </c:extLst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00-4E59-8B87-4E2E7894508F}"/>
              </c:ext>
            </c:extLst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00-4E59-8B87-4E2E7894508F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300-4E59-8B87-4E2E7894508F}"/>
              </c:ext>
            </c:extLst>
          </c:dPt>
          <c:dPt>
            <c:idx val="8"/>
            <c:bubble3D val="0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00-4E59-8B87-4E2E7894508F}"/>
              </c:ext>
            </c:extLst>
          </c:dPt>
          <c:cat>
            <c:strRef>
              <c:f>Статистика!$B$3:$B$13</c:f>
              <c:strCache>
                <c:ptCount val="11"/>
                <c:pt idx="0">
                  <c:v>В архиве</c:v>
                </c:pt>
                <c:pt idx="1">
                  <c:v>ДН ТД не соответствует ДН в архиве</c:v>
                </c:pt>
                <c:pt idx="2">
                  <c:v>Архивирование ТД</c:v>
                </c:pt>
                <c:pt idx="3">
                  <c:v>ТД в разработке</c:v>
                </c:pt>
                <c:pt idx="4">
                  <c:v>Актуализировать</c:v>
                </c:pt>
                <c:pt idx="5">
                  <c:v>Установить дату последнего изменения ТД</c:v>
                </c:pt>
                <c:pt idx="6">
                  <c:v>В составе МК верхнего уровня</c:v>
                </c:pt>
                <c:pt idx="7">
                  <c:v>КТТП</c:v>
                </c:pt>
                <c:pt idx="8">
                  <c:v>Разработать</c:v>
                </c:pt>
                <c:pt idx="9">
                  <c:v>Ожидание утверждения КД</c:v>
                </c:pt>
                <c:pt idx="10">
                  <c:v>Отсутствие КД</c:v>
                </c:pt>
              </c:strCache>
            </c:strRef>
          </c:cat>
          <c:val>
            <c:numRef>
              <c:f>Статистика!$C$3:$C$13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58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800</c:v>
                </c:pt>
                <c:pt idx="8">
                  <c:v>93</c:v>
                </c:pt>
                <c:pt idx="9">
                  <c:v>0</c:v>
                </c:pt>
                <c:pt idx="1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00-4E59-8B87-4E2E7894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15260488592772056"/>
          <c:w val="0.3261246659732665"/>
          <c:h val="0.7783475815523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сборочных единиц по уникальности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Статистика!$B$17:$B$18</c:f>
              <c:strCache>
                <c:ptCount val="2"/>
                <c:pt idx="0">
                  <c:v>Количество уникальных сборочных единиц</c:v>
                </c:pt>
                <c:pt idx="1">
                  <c:v>Количество не уникальных сборочных единиц</c:v>
                </c:pt>
              </c:strCache>
            </c:strRef>
          </c:cat>
          <c:val>
            <c:numRef>
              <c:f>Статистика!$C$17:$C$18</c:f>
              <c:numCache>
                <c:formatCode>General</c:formatCode>
                <c:ptCount val="2"/>
                <c:pt idx="0">
                  <c:v>1199</c:v>
                </c:pt>
                <c:pt idx="1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56-4595-8DEB-4F725DA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3911286089238851"/>
          <c:w val="0.35672029509824787"/>
          <c:h val="0.32914129483814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уникальных сборочных единиц по состояниям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Статистика!$B$23:$B$28</c:f>
              <c:strCache>
                <c:ptCount val="6"/>
                <c:pt idx="0">
                  <c:v>В архиве</c:v>
                </c:pt>
                <c:pt idx="1">
                  <c:v>Архивирование ТД</c:v>
                </c:pt>
                <c:pt idx="2">
                  <c:v>Разработка ТД</c:v>
                </c:pt>
                <c:pt idx="3">
                  <c:v>КТТП</c:v>
                </c:pt>
                <c:pt idx="4">
                  <c:v>Отсутствие утвержденной КД</c:v>
                </c:pt>
                <c:pt idx="5">
                  <c:v>В составе МК верхнего уровня</c:v>
                </c:pt>
              </c:strCache>
            </c:strRef>
          </c:cat>
          <c:val>
            <c:numRef>
              <c:f>Статистика!$C$23:$C$28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159</c:v>
                </c:pt>
                <c:pt idx="3">
                  <c:v>800</c:v>
                </c:pt>
                <c:pt idx="4">
                  <c:v>227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17F-40DE-98C5-0A72A03E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5225897090253879"/>
          <c:w val="0.25589131342608451"/>
          <c:h val="0.7477410290974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4</xdr:col>
          <xdr:colOff>695325</xdr:colOff>
          <xdr:row>3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0</xdr:rowOff>
        </xdr:from>
        <xdr:to>
          <xdr:col>4</xdr:col>
          <xdr:colOff>1381125</xdr:colOff>
          <xdr:row>3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9525</xdr:colOff>
          <xdr:row>0</xdr:row>
          <xdr:rowOff>0</xdr:rowOff>
        </xdr:from>
        <xdr:to>
          <xdr:col>286</xdr:col>
          <xdr:colOff>533400</xdr:colOff>
          <xdr:row>3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5060" name="CommandButton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542925</xdr:colOff>
          <xdr:row>0</xdr:row>
          <xdr:rowOff>0</xdr:rowOff>
        </xdr:from>
        <xdr:to>
          <xdr:col>287</xdr:col>
          <xdr:colOff>0</xdr:colOff>
          <xdr:row>3</xdr:row>
          <xdr:rowOff>0</xdr:rowOff>
        </xdr:to>
        <xdr:sp macro="" textlink="">
          <xdr:nvSpPr>
            <xdr:cNvPr id="45061" name="CommandButton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0</xdr:rowOff>
        </xdr:from>
        <xdr:to>
          <xdr:col>4</xdr:col>
          <xdr:colOff>2066925</xdr:colOff>
          <xdr:row>3</xdr:row>
          <xdr:rowOff>0</xdr:rowOff>
        </xdr:to>
        <xdr:sp macro="" textlink="">
          <xdr:nvSpPr>
            <xdr:cNvPr id="45062" name="CommandButton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0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5064" name="CommandButton7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300038</xdr:colOff>
      <xdr:row>14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15</xdr:col>
      <xdr:colOff>296333</xdr:colOff>
      <xdr:row>20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15</xdr:col>
      <xdr:colOff>300038</xdr:colOff>
      <xdr:row>28</xdr:row>
      <xdr:rowOff>10583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1</xdr:row>
          <xdr:rowOff>428625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7">
    <outlinePr summaryBelow="0" summaryRight="0"/>
    <pageSetUpPr fitToPage="1"/>
  </sheetPr>
  <dimension ref="A1:NL5"/>
  <sheetViews>
    <sheetView tabSelected="1" zoomScale="85" zoomScaleNormal="85" workbookViewId="0">
      <pane xSplit="11" ySplit="5" topLeftCell="L6" activePane="bottomRight" state="frozenSplit"/>
      <selection activeCell="T10" sqref="T10"/>
      <selection pane="topRight" activeCell="T10" sqref="T10"/>
      <selection pane="bottomLeft" activeCell="T10" sqref="T10"/>
      <selection pane="bottomRight" activeCell="E26" sqref="E26"/>
    </sheetView>
  </sheetViews>
  <sheetFormatPr defaultColWidth="9.140625" defaultRowHeight="15.75" outlineLevelRow="1" outlineLevelCol="3" x14ac:dyDescent="0.25"/>
  <cols>
    <col min="1" max="1" width="3.7109375" style="20" customWidth="1"/>
    <col min="2" max="2" width="15.7109375" style="18" customWidth="1" outlineLevel="1"/>
    <col min="3" max="4" width="2.7109375" style="18" hidden="1" customWidth="1"/>
    <col min="5" max="5" width="41.28515625" style="19" customWidth="1"/>
    <col min="6" max="8" width="30.7109375" style="20" hidden="1" customWidth="1"/>
    <col min="9" max="10" width="2.7109375" style="20" hidden="1" customWidth="1"/>
    <col min="11" max="11" width="19.140625" style="22" customWidth="1"/>
    <col min="12" max="12" width="5.7109375" style="22" customWidth="1" outlineLevel="1"/>
    <col min="13" max="13" width="5.7109375" style="22" customWidth="1" outlineLevel="1" collapsed="1"/>
    <col min="14" max="17" width="15.7109375" style="22" hidden="1" customWidth="1" outlineLevel="2"/>
    <col min="18" max="18" width="5.7109375" style="22" customWidth="1" outlineLevel="1" collapsed="1"/>
    <col min="19" max="21" width="10.7109375" style="24" hidden="1" customWidth="1" outlineLevel="2"/>
    <col min="22" max="23" width="10.7109375" style="22" hidden="1" customWidth="1" outlineLevel="2"/>
    <col min="24" max="24" width="10.7109375" style="24" hidden="1" customWidth="1" outlineLevel="2"/>
    <col min="25" max="28" width="3.7109375" style="22" hidden="1" customWidth="1" outlineLevel="1"/>
    <col min="29" max="29" width="5.7109375" style="22" customWidth="1" outlineLevel="1" collapsed="1"/>
    <col min="30" max="31" width="5.7109375" style="22" hidden="1" customWidth="1" outlineLevel="2"/>
    <col min="32" max="246" width="5.7109375" style="28" hidden="1" customWidth="1" outlineLevel="2"/>
    <col min="247" max="250" width="5.7109375" style="22" hidden="1" customWidth="1" outlineLevel="2"/>
    <col min="251" max="251" width="5.7109375" style="22" customWidth="1" outlineLevel="1" collapsed="1"/>
    <col min="252" max="253" width="15.7109375" style="22" hidden="1" customWidth="1" outlineLevel="2"/>
    <col min="254" max="254" width="15.7109375" style="24" hidden="1" customWidth="1" outlineLevel="2"/>
    <col min="255" max="255" width="15.7109375" style="22" hidden="1" customWidth="1" outlineLevel="2"/>
    <col min="256" max="257" width="5.7109375" style="22" hidden="1" customWidth="1" outlineLevel="2"/>
    <col min="258" max="258" width="5.7109375" style="22" customWidth="1" outlineLevel="1" collapsed="1"/>
    <col min="259" max="259" width="15.7109375" style="22" hidden="1" customWidth="1" outlineLevel="2" collapsed="1"/>
    <col min="260" max="261" width="15.7109375" style="22" hidden="1" customWidth="1" outlineLevel="3"/>
    <col min="262" max="264" width="3.7109375" style="22" hidden="1" customWidth="1" outlineLevel="2"/>
    <col min="265" max="265" width="15.7109375" style="23" hidden="1" customWidth="1" outlineLevel="2" collapsed="1"/>
    <col min="266" max="266" width="15.7109375" style="23" hidden="1" customWidth="1" outlineLevel="3"/>
    <col min="267" max="267" width="15.7109375" style="22" hidden="1" customWidth="1" outlineLevel="3"/>
    <col min="268" max="268" width="15.7109375" style="24" hidden="1" customWidth="1" outlineLevel="3"/>
    <col min="269" max="271" width="3.7109375" style="22" hidden="1" customWidth="1" outlineLevel="2"/>
    <col min="272" max="272" width="5.7109375" style="22" customWidth="1" outlineLevel="1" collapsed="1"/>
    <col min="273" max="273" width="15.7109375" style="22" hidden="1" customWidth="1" outlineLevel="2"/>
    <col min="274" max="274" width="15.7109375" style="24" hidden="1" customWidth="1" outlineLevel="2"/>
    <col min="275" max="275" width="15.7109375" style="22" hidden="1" customWidth="1" outlineLevel="2"/>
    <col min="276" max="276" width="14" style="23" hidden="1" customWidth="1" outlineLevel="2"/>
    <col min="277" max="277" width="3.7109375" style="22" hidden="1" customWidth="1" outlineLevel="1"/>
    <col min="278" max="278" width="5.7109375" style="22" customWidth="1" outlineLevel="1"/>
    <col min="279" max="280" width="20.7109375" style="22" customWidth="1" outlineLevel="2"/>
    <col min="281" max="281" width="15.7109375" style="22" customWidth="1" outlineLevel="2"/>
    <col min="282" max="282" width="15.7109375" style="22" hidden="1" customWidth="1" outlineLevel="2"/>
    <col min="283" max="283" width="20.7109375" style="22" customWidth="1" outlineLevel="2"/>
    <col min="284" max="284" width="19.7109375" style="22" customWidth="1" outlineLevel="2"/>
    <col min="285" max="285" width="20.7109375" style="22" hidden="1" customWidth="1"/>
    <col min="286" max="286" width="25.7109375" style="1" customWidth="1"/>
    <col min="287" max="287" width="15.85546875" style="22" customWidth="1"/>
    <col min="288" max="288" width="5.7109375" style="23" customWidth="1" outlineLevel="1"/>
    <col min="289" max="289" width="6.7109375" style="22" customWidth="1" outlineLevel="1" collapsed="1"/>
    <col min="290" max="290" width="5.7109375" style="22" hidden="1" customWidth="1" outlineLevel="2"/>
    <col min="291" max="291" width="10.7109375" style="22" hidden="1" customWidth="1" outlineLevel="2"/>
    <col min="292" max="293" width="15.7109375" style="23" customWidth="1" outlineLevel="1"/>
    <col min="294" max="294" width="5.7109375" style="22" customWidth="1" outlineLevel="1"/>
    <col min="295" max="296" width="15.7109375" style="22" customWidth="1" outlineLevel="2"/>
    <col min="297" max="297" width="30.7109375" style="22" customWidth="1" outlineLevel="2" collapsed="1"/>
    <col min="298" max="298" width="5.7109375" style="22" hidden="1" customWidth="1" outlineLevel="3"/>
    <col min="299" max="299" width="10.7109375" style="1" hidden="1" customWidth="1" outlineLevel="3"/>
    <col min="300" max="300" width="5.7109375" style="22" hidden="1" customWidth="1" outlineLevel="3"/>
    <col min="301" max="301" width="10.7109375" style="1" hidden="1" customWidth="1" outlineLevel="3"/>
    <col min="302" max="302" width="5.7109375" style="22" hidden="1" customWidth="1" outlineLevel="3"/>
    <col min="303" max="303" width="10.7109375" style="22" hidden="1" customWidth="1" outlineLevel="3"/>
    <col min="304" max="304" width="5.7109375" style="22" hidden="1" customWidth="1" outlineLevel="3"/>
    <col min="305" max="305" width="10.7109375" style="22" hidden="1" customWidth="1" outlineLevel="3"/>
    <col min="306" max="306" width="5.7109375" style="22" hidden="1" customWidth="1" outlineLevel="3"/>
    <col min="307" max="307" width="10.7109375" style="22" hidden="1" customWidth="1" outlineLevel="3"/>
    <col min="308" max="308" width="5.7109375" style="22" hidden="1" customWidth="1" outlineLevel="3"/>
    <col min="309" max="309" width="10.7109375" style="22" hidden="1" customWidth="1" outlineLevel="3"/>
    <col min="310" max="310" width="5.7109375" style="22" hidden="1" customWidth="1" outlineLevel="3"/>
    <col min="311" max="311" width="10.7109375" style="22" hidden="1" customWidth="1" outlineLevel="3"/>
    <col min="312" max="312" width="5.7109375" style="22" hidden="1" customWidth="1" outlineLevel="3"/>
    <col min="313" max="313" width="10.7109375" style="22" hidden="1" customWidth="1" outlineLevel="3"/>
    <col min="314" max="314" width="5.7109375" style="22" hidden="1" customWidth="1" outlineLevel="3"/>
    <col min="315" max="315" width="10.7109375" style="22" hidden="1" customWidth="1" outlineLevel="3"/>
    <col min="316" max="316" width="5.7109375" style="22" hidden="1" customWidth="1" outlineLevel="3"/>
    <col min="317" max="317" width="10.7109375" style="22" hidden="1" customWidth="1" outlineLevel="3"/>
    <col min="318" max="318" width="5.7109375" style="22" hidden="1" customWidth="1" outlineLevel="3"/>
    <col min="319" max="319" width="10.7109375" style="22" hidden="1" customWidth="1" outlineLevel="3"/>
    <col min="320" max="320" width="5.7109375" style="22" hidden="1" customWidth="1" outlineLevel="3"/>
    <col min="321" max="321" width="10.7109375" style="24" hidden="1" customWidth="1" outlineLevel="3"/>
    <col min="322" max="322" width="5.7109375" style="22" hidden="1" customWidth="1" outlineLevel="3"/>
    <col min="323" max="323" width="10.7109375" style="22" hidden="1" customWidth="1" outlineLevel="3"/>
    <col min="324" max="324" width="5.7109375" style="22" hidden="1" customWidth="1" outlineLevel="3"/>
    <col min="325" max="325" width="10.7109375" style="22" hidden="1" customWidth="1" outlineLevel="3"/>
    <col min="326" max="326" width="5.7109375" style="22" hidden="1" customWidth="1" outlineLevel="3"/>
    <col min="327" max="327" width="10.7109375" style="24" hidden="1" customWidth="1" outlineLevel="3"/>
    <col min="328" max="328" width="5.7109375" style="22" hidden="1" customWidth="1" outlineLevel="3"/>
    <col min="329" max="329" width="10.7109375" style="22" hidden="1" customWidth="1" outlineLevel="3"/>
    <col min="330" max="330" width="5.7109375" style="22" hidden="1" customWidth="1" outlineLevel="3"/>
    <col min="331" max="331" width="10.7109375" style="22" hidden="1" customWidth="1" outlineLevel="3"/>
    <col min="332" max="332" width="5.7109375" style="22" hidden="1" customWidth="1" outlineLevel="3"/>
    <col min="333" max="333" width="10.7109375" style="24" hidden="1" customWidth="1" outlineLevel="3"/>
    <col min="334" max="334" width="5.7109375" style="22" hidden="1" customWidth="1" outlineLevel="3"/>
    <col min="335" max="335" width="10.7109375" style="22" hidden="1" customWidth="1" outlineLevel="3"/>
    <col min="336" max="336" width="5.7109375" style="22" hidden="1" customWidth="1" outlineLevel="3"/>
    <col min="337" max="337" width="10.7109375" style="22" hidden="1" customWidth="1" outlineLevel="3"/>
    <col min="338" max="338" width="5.7109375" style="22" hidden="1" customWidth="1" outlineLevel="3"/>
    <col min="339" max="339" width="10.7109375" style="24" hidden="1" customWidth="1" outlineLevel="3"/>
    <col min="340" max="340" width="5.7109375" style="22" hidden="1" customWidth="1" outlineLevel="3"/>
    <col min="341" max="341" width="10.7109375" style="22" hidden="1" customWidth="1" outlineLevel="3"/>
    <col min="342" max="342" width="5.7109375" style="22" hidden="1" customWidth="1" outlineLevel="3"/>
    <col min="343" max="343" width="10.7109375" style="22" hidden="1" customWidth="1" outlineLevel="3"/>
    <col min="344" max="344" width="5.7109375" style="22" hidden="1" customWidth="1" outlineLevel="3"/>
    <col min="345" max="345" width="10.7109375" style="24" hidden="1" customWidth="1" outlineLevel="3"/>
    <col min="346" max="346" width="20.7109375" style="22" customWidth="1" collapsed="1"/>
    <col min="347" max="347" width="15.7109375" style="22" hidden="1" customWidth="1" outlineLevel="1" collapsed="1"/>
    <col min="348" max="348" width="10.7109375" style="23" hidden="1" customWidth="1" outlineLevel="2"/>
    <col min="349" max="349" width="15.7109375" style="22" hidden="1" customWidth="1" outlineLevel="1" collapsed="1"/>
    <col min="350" max="350" width="10.7109375" style="23" hidden="1" customWidth="1" outlineLevel="2"/>
    <col min="351" max="351" width="15.7109375" style="22" hidden="1" customWidth="1" outlineLevel="1" collapsed="1"/>
    <col min="352" max="352" width="10.7109375" style="24" hidden="1" customWidth="1" outlineLevel="2"/>
    <col min="353" max="353" width="15.7109375" style="22" hidden="1" customWidth="1" outlineLevel="1" collapsed="1"/>
    <col min="354" max="354" width="10.7109375" style="23" hidden="1" customWidth="1" outlineLevel="2"/>
    <col min="355" max="355" width="15.7109375" style="22" hidden="1" customWidth="1" outlineLevel="1" collapsed="1"/>
    <col min="356" max="356" width="10.7109375" style="23" hidden="1" customWidth="1" outlineLevel="2"/>
    <col min="357" max="357" width="15.7109375" style="22" hidden="1" customWidth="1" outlineLevel="1" collapsed="1"/>
    <col min="358" max="358" width="15.7109375" style="24" hidden="1" customWidth="1" outlineLevel="2"/>
    <col min="359" max="359" width="10.7109375" style="22" hidden="1" customWidth="1" outlineLevel="2"/>
    <col min="360" max="360" width="20" style="22" hidden="1" customWidth="1" outlineLevel="1" collapsed="1"/>
    <col min="361" max="361" width="14.85546875" style="23" hidden="1" customWidth="1" outlineLevel="2"/>
    <col min="362" max="362" width="30.5703125" style="22" customWidth="1"/>
    <col min="363" max="363" width="17" style="22" customWidth="1" collapsed="1"/>
    <col min="364" max="364" width="15.7109375" style="22" hidden="1" customWidth="1" outlineLevel="1"/>
    <col min="365" max="365" width="15.7109375" style="1" hidden="1" customWidth="1" outlineLevel="1" collapsed="1"/>
    <col min="366" max="366" width="40.7109375" style="1" hidden="1" customWidth="1" outlineLevel="2" collapsed="1"/>
    <col min="367" max="367" width="100.7109375" style="1" hidden="1" customWidth="1" outlineLevel="3"/>
    <col min="368" max="368" width="5.7109375" style="22" hidden="1" customWidth="1" outlineLevel="2"/>
    <col min="369" max="370" width="3.7109375" style="22" hidden="1" customWidth="1"/>
    <col min="371" max="371" width="3.7109375" style="24" hidden="1" customWidth="1"/>
    <col min="372" max="373" width="3.7109375" style="22" hidden="1" customWidth="1"/>
    <col min="374" max="374" width="42.7109375" style="1" customWidth="1"/>
    <col min="375" max="375" width="26.85546875" style="23" customWidth="1"/>
    <col min="376" max="376" width="9.140625" style="72" hidden="1" customWidth="1"/>
    <col min="377" max="16384" width="9.140625" style="17"/>
  </cols>
  <sheetData>
    <row r="1" spans="1:376" s="5" customFormat="1" ht="35.1" customHeight="1" collapsed="1" x14ac:dyDescent="0.25">
      <c r="A1" s="86" t="s">
        <v>2</v>
      </c>
      <c r="B1" s="122" t="s">
        <v>259</v>
      </c>
      <c r="C1" s="65"/>
      <c r="D1" s="65"/>
      <c r="E1" s="2"/>
      <c r="F1" s="124" t="s">
        <v>18</v>
      </c>
      <c r="G1" s="124" t="s">
        <v>17</v>
      </c>
      <c r="H1" s="124" t="s">
        <v>16</v>
      </c>
      <c r="I1" s="67"/>
      <c r="J1" s="67"/>
      <c r="K1" s="3"/>
      <c r="L1" s="86" t="s">
        <v>260</v>
      </c>
      <c r="M1" s="86" t="s">
        <v>346</v>
      </c>
      <c r="N1" s="84" t="s">
        <v>348</v>
      </c>
      <c r="O1" s="84" t="s">
        <v>349</v>
      </c>
      <c r="P1" s="84" t="s">
        <v>350</v>
      </c>
      <c r="Q1" s="84" t="s">
        <v>351</v>
      </c>
      <c r="R1" s="86" t="s">
        <v>347</v>
      </c>
      <c r="S1" s="93" t="s">
        <v>348</v>
      </c>
      <c r="T1" s="93" t="s">
        <v>349</v>
      </c>
      <c r="U1" s="93" t="s">
        <v>350</v>
      </c>
      <c r="V1" s="84" t="s">
        <v>351</v>
      </c>
      <c r="W1" s="84" t="s">
        <v>353</v>
      </c>
      <c r="X1" s="93" t="s">
        <v>352</v>
      </c>
      <c r="Y1" s="63"/>
      <c r="Z1" s="63"/>
      <c r="AA1" s="63"/>
      <c r="AB1" s="63"/>
      <c r="AC1" s="86" t="s">
        <v>22</v>
      </c>
      <c r="AD1" s="126" t="s">
        <v>357</v>
      </c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7"/>
      <c r="CR1" s="127"/>
      <c r="CS1" s="127"/>
      <c r="CT1" s="127"/>
      <c r="CU1" s="127"/>
      <c r="CV1" s="127"/>
      <c r="CW1" s="127"/>
      <c r="CX1" s="127"/>
      <c r="CY1" s="127"/>
      <c r="CZ1" s="127"/>
      <c r="DA1" s="127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7"/>
      <c r="DX1" s="127"/>
      <c r="DY1" s="127"/>
      <c r="DZ1" s="127"/>
      <c r="EA1" s="127"/>
      <c r="EB1" s="127"/>
      <c r="EC1" s="127"/>
      <c r="ED1" s="127"/>
      <c r="EE1" s="127"/>
      <c r="EF1" s="127"/>
      <c r="EG1" s="127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7"/>
      <c r="FN1" s="127"/>
      <c r="FO1" s="127"/>
      <c r="FP1" s="127"/>
      <c r="FQ1" s="127"/>
      <c r="FR1" s="127"/>
      <c r="FS1" s="127"/>
      <c r="FT1" s="127"/>
      <c r="FU1" s="127"/>
      <c r="FV1" s="127"/>
      <c r="FW1" s="127"/>
      <c r="FX1" s="127"/>
      <c r="FY1" s="127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7"/>
      <c r="HD1" s="127"/>
      <c r="HE1" s="127"/>
      <c r="HF1" s="127"/>
      <c r="HG1" s="127"/>
      <c r="HH1" s="127"/>
      <c r="HI1" s="127"/>
      <c r="HJ1" s="127"/>
      <c r="HK1" s="127"/>
      <c r="HL1" s="127"/>
      <c r="HM1" s="127"/>
      <c r="HN1" s="127"/>
      <c r="HO1" s="127"/>
      <c r="HP1" s="127"/>
      <c r="HQ1" s="127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8"/>
      <c r="IC1" s="126" t="s">
        <v>35</v>
      </c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8"/>
      <c r="IQ1" s="86" t="s">
        <v>19</v>
      </c>
      <c r="IR1" s="84" t="s">
        <v>30</v>
      </c>
      <c r="IS1" s="84" t="s">
        <v>358</v>
      </c>
      <c r="IT1" s="93" t="s">
        <v>11</v>
      </c>
      <c r="IU1" s="84" t="s">
        <v>31</v>
      </c>
      <c r="IV1" s="86" t="s">
        <v>359</v>
      </c>
      <c r="IW1" s="86" t="s">
        <v>360</v>
      </c>
      <c r="IX1" s="86" t="s">
        <v>20</v>
      </c>
      <c r="IY1" s="84" t="s">
        <v>258</v>
      </c>
      <c r="IZ1" s="84" t="s">
        <v>27</v>
      </c>
      <c r="JA1" s="84" t="s">
        <v>28</v>
      </c>
      <c r="JB1" s="61"/>
      <c r="JC1" s="61"/>
      <c r="JD1" s="61"/>
      <c r="JE1" s="98" t="s">
        <v>24</v>
      </c>
      <c r="JF1" s="98" t="s">
        <v>26</v>
      </c>
      <c r="JG1" s="84" t="s">
        <v>23</v>
      </c>
      <c r="JH1" s="93" t="s">
        <v>25</v>
      </c>
      <c r="JI1" s="61"/>
      <c r="JJ1" s="61"/>
      <c r="JK1" s="61"/>
      <c r="JL1" s="86" t="s">
        <v>29</v>
      </c>
      <c r="JM1" s="84" t="s">
        <v>407</v>
      </c>
      <c r="JN1" s="93" t="s">
        <v>364</v>
      </c>
      <c r="JO1" s="84" t="s">
        <v>416</v>
      </c>
      <c r="JP1" s="98" t="s">
        <v>417</v>
      </c>
      <c r="JQ1" s="61"/>
      <c r="JR1" s="86" t="s">
        <v>34</v>
      </c>
      <c r="JS1" s="84" t="s">
        <v>21</v>
      </c>
      <c r="JT1" s="84" t="s">
        <v>33</v>
      </c>
      <c r="JU1" s="84" t="s">
        <v>345</v>
      </c>
      <c r="JV1" s="84"/>
      <c r="JW1" s="84" t="s">
        <v>354</v>
      </c>
      <c r="JX1" s="84" t="s">
        <v>463</v>
      </c>
      <c r="JY1" s="84"/>
      <c r="JZ1" s="110" t="s">
        <v>412</v>
      </c>
      <c r="KA1" s="3"/>
      <c r="KB1" s="94" t="s">
        <v>32</v>
      </c>
      <c r="KC1" s="86" t="s">
        <v>361</v>
      </c>
      <c r="KD1" s="86" t="s">
        <v>362</v>
      </c>
      <c r="KE1" s="84" t="s">
        <v>363</v>
      </c>
      <c r="KF1" s="98" t="s">
        <v>257</v>
      </c>
      <c r="KG1" s="98" t="s">
        <v>415</v>
      </c>
      <c r="KH1" s="86" t="s">
        <v>13</v>
      </c>
      <c r="KI1" s="88" t="s">
        <v>13</v>
      </c>
      <c r="KJ1" s="89"/>
      <c r="KK1" s="89"/>
      <c r="KL1" s="89"/>
      <c r="KM1" s="89"/>
      <c r="KN1" s="89"/>
      <c r="KO1" s="89"/>
      <c r="KP1" s="89"/>
      <c r="KQ1" s="89"/>
      <c r="KR1" s="89"/>
      <c r="KS1" s="89"/>
      <c r="KT1" s="89"/>
      <c r="KU1" s="89"/>
      <c r="KV1" s="89"/>
      <c r="KW1" s="89"/>
      <c r="KX1" s="89"/>
      <c r="KY1" s="89"/>
      <c r="KZ1" s="89"/>
      <c r="LA1" s="89"/>
      <c r="LB1" s="89"/>
      <c r="LC1" s="89"/>
      <c r="LD1" s="89"/>
      <c r="LE1" s="89"/>
      <c r="LF1" s="89"/>
      <c r="LG1" s="89"/>
      <c r="LH1" s="89"/>
      <c r="LI1" s="89"/>
      <c r="LJ1" s="89"/>
      <c r="LK1" s="89"/>
      <c r="LL1" s="89"/>
      <c r="LM1" s="89"/>
      <c r="LN1" s="89"/>
      <c r="LO1" s="89"/>
      <c r="LP1" s="89"/>
      <c r="LQ1" s="89"/>
      <c r="LR1" s="89"/>
      <c r="LS1" s="89"/>
      <c r="LT1" s="89"/>
      <c r="LU1" s="89"/>
      <c r="LV1" s="89"/>
      <c r="LW1" s="89"/>
      <c r="LX1" s="89"/>
      <c r="LY1" s="89"/>
      <c r="LZ1" s="89"/>
      <c r="MA1" s="89"/>
      <c r="MB1" s="89"/>
      <c r="MC1" s="89"/>
      <c r="MD1" s="89"/>
      <c r="ME1" s="89"/>
      <c r="MF1" s="89"/>
      <c r="MG1" s="90"/>
      <c r="MH1" s="110" t="s">
        <v>413</v>
      </c>
      <c r="MI1" s="83" t="s">
        <v>12</v>
      </c>
      <c r="MJ1" s="83"/>
      <c r="MK1" s="83"/>
      <c r="ML1" s="83"/>
      <c r="MM1" s="83"/>
      <c r="MN1" s="83"/>
      <c r="MO1" s="83"/>
      <c r="MP1" s="83"/>
      <c r="MQ1" s="83"/>
      <c r="MR1" s="83"/>
      <c r="MS1" s="83" t="s">
        <v>389</v>
      </c>
      <c r="MT1" s="93" t="s">
        <v>408</v>
      </c>
      <c r="MU1" s="84" t="s">
        <v>465</v>
      </c>
      <c r="MV1" s="84" t="s">
        <v>410</v>
      </c>
      <c r="MW1" s="98" t="s">
        <v>411</v>
      </c>
      <c r="MX1" s="110" t="s">
        <v>414</v>
      </c>
      <c r="MY1" s="100" t="s">
        <v>405</v>
      </c>
      <c r="MZ1" s="100" t="s">
        <v>406</v>
      </c>
      <c r="NA1" s="4"/>
      <c r="NB1" s="98" t="s">
        <v>379</v>
      </c>
      <c r="NC1" s="83" t="s">
        <v>380</v>
      </c>
      <c r="ND1" s="103" t="s">
        <v>378</v>
      </c>
      <c r="NE1" s="103"/>
      <c r="NF1" s="97"/>
      <c r="NG1" s="92"/>
      <c r="NH1" s="94"/>
      <c r="NI1" s="94"/>
      <c r="NJ1" s="96" t="s">
        <v>377</v>
      </c>
      <c r="NK1" s="97" t="s">
        <v>9</v>
      </c>
      <c r="NL1" s="5" t="s">
        <v>355</v>
      </c>
    </row>
    <row r="2" spans="1:376" s="5" customFormat="1" ht="15" hidden="1" customHeight="1" outlineLevel="1" x14ac:dyDescent="0.25">
      <c r="A2" s="87"/>
      <c r="B2" s="123"/>
      <c r="C2" s="66"/>
      <c r="D2" s="66"/>
      <c r="E2" s="85" t="s">
        <v>0</v>
      </c>
      <c r="F2" s="125"/>
      <c r="G2" s="125"/>
      <c r="H2" s="125"/>
      <c r="I2" s="68"/>
      <c r="J2" s="68"/>
      <c r="K2" s="84" t="s">
        <v>3</v>
      </c>
      <c r="L2" s="87"/>
      <c r="M2" s="87"/>
      <c r="N2" s="85"/>
      <c r="O2" s="85"/>
      <c r="P2" s="85"/>
      <c r="Q2" s="85"/>
      <c r="R2" s="87"/>
      <c r="S2" s="107"/>
      <c r="T2" s="107"/>
      <c r="U2" s="107"/>
      <c r="V2" s="85"/>
      <c r="W2" s="85"/>
      <c r="X2" s="107"/>
      <c r="Y2" s="64"/>
      <c r="Z2" s="64"/>
      <c r="AA2" s="64"/>
      <c r="AB2" s="64"/>
      <c r="AC2" s="87"/>
      <c r="AD2" s="86"/>
      <c r="AE2" s="82" t="s">
        <v>36</v>
      </c>
      <c r="AF2" s="100" t="s">
        <v>37</v>
      </c>
      <c r="AG2" s="100"/>
      <c r="AH2" s="100"/>
      <c r="AI2" s="100"/>
      <c r="AJ2" s="100"/>
      <c r="AK2" s="100"/>
      <c r="AL2" s="100"/>
      <c r="AM2" s="100" t="s">
        <v>38</v>
      </c>
      <c r="AN2" s="100"/>
      <c r="AO2" s="100"/>
      <c r="AP2" s="100"/>
      <c r="AQ2" s="100"/>
      <c r="AR2" s="100"/>
      <c r="AS2" s="100"/>
      <c r="AT2" s="100"/>
      <c r="AU2" s="100"/>
      <c r="AV2" s="82" t="s">
        <v>39</v>
      </c>
      <c r="AW2" s="82" t="s">
        <v>40</v>
      </c>
      <c r="AX2" s="82" t="s">
        <v>41</v>
      </c>
      <c r="AY2" s="82" t="s">
        <v>42</v>
      </c>
      <c r="AZ2" s="74"/>
      <c r="BA2" s="74"/>
      <c r="BB2" s="82" t="s">
        <v>43</v>
      </c>
      <c r="BC2" s="82" t="s">
        <v>44</v>
      </c>
      <c r="BD2" s="82"/>
      <c r="BE2" s="82"/>
      <c r="BF2" s="82"/>
      <c r="BG2" s="82"/>
      <c r="BH2" s="74"/>
      <c r="BI2" s="74"/>
      <c r="BJ2" s="74"/>
      <c r="BK2" s="76" t="s">
        <v>45</v>
      </c>
      <c r="BL2" s="77"/>
      <c r="BM2" s="77"/>
      <c r="BN2" s="77"/>
      <c r="BO2" s="78"/>
      <c r="BP2" s="74"/>
      <c r="BQ2" s="74"/>
      <c r="BR2" s="74"/>
      <c r="BS2" s="119" t="s">
        <v>261</v>
      </c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1"/>
      <c r="EU2" s="74"/>
      <c r="EV2" s="74"/>
      <c r="EW2" s="74"/>
      <c r="EX2" s="76" t="s">
        <v>71</v>
      </c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8"/>
      <c r="HZ2" s="74"/>
      <c r="IA2" s="74"/>
      <c r="IB2" s="74"/>
      <c r="IC2" s="82" t="s">
        <v>46</v>
      </c>
      <c r="ID2" s="82" t="s">
        <v>344</v>
      </c>
      <c r="IE2" s="82" t="s">
        <v>47</v>
      </c>
      <c r="IF2" s="82" t="s">
        <v>48</v>
      </c>
      <c r="IG2" s="82" t="s">
        <v>49</v>
      </c>
      <c r="IH2" s="82" t="s">
        <v>50</v>
      </c>
      <c r="II2" s="82" t="s">
        <v>51</v>
      </c>
      <c r="IJ2" s="82" t="s">
        <v>52</v>
      </c>
      <c r="IK2" s="82" t="s">
        <v>53</v>
      </c>
      <c r="IL2" s="82" t="s">
        <v>54</v>
      </c>
      <c r="IM2" s="82" t="s">
        <v>343</v>
      </c>
      <c r="IN2" s="82" t="s">
        <v>342</v>
      </c>
      <c r="IO2" s="6"/>
      <c r="IP2" s="6"/>
      <c r="IQ2" s="87"/>
      <c r="IR2" s="85"/>
      <c r="IS2" s="85"/>
      <c r="IT2" s="107"/>
      <c r="IU2" s="85"/>
      <c r="IV2" s="87"/>
      <c r="IW2" s="87"/>
      <c r="IX2" s="87"/>
      <c r="IY2" s="85"/>
      <c r="IZ2" s="85"/>
      <c r="JA2" s="85"/>
      <c r="JB2" s="62"/>
      <c r="JC2" s="62"/>
      <c r="JD2" s="62"/>
      <c r="JE2" s="102"/>
      <c r="JF2" s="102"/>
      <c r="JG2" s="85"/>
      <c r="JH2" s="107"/>
      <c r="JI2" s="62"/>
      <c r="JJ2" s="62"/>
      <c r="JK2" s="62"/>
      <c r="JL2" s="87"/>
      <c r="JM2" s="85"/>
      <c r="JN2" s="107"/>
      <c r="JO2" s="85"/>
      <c r="JP2" s="102"/>
      <c r="JQ2" s="62"/>
      <c r="JR2" s="87"/>
      <c r="JS2" s="85"/>
      <c r="JT2" s="85"/>
      <c r="JU2" s="85"/>
      <c r="JV2" s="85"/>
      <c r="JW2" s="85"/>
      <c r="JX2" s="85"/>
      <c r="JY2" s="85"/>
      <c r="JZ2" s="111"/>
      <c r="KA2" s="83" t="s">
        <v>10</v>
      </c>
      <c r="KB2" s="95"/>
      <c r="KC2" s="87"/>
      <c r="KD2" s="87"/>
      <c r="KE2" s="85"/>
      <c r="KF2" s="102"/>
      <c r="KG2" s="102"/>
      <c r="KH2" s="87"/>
      <c r="KI2" s="84" t="s">
        <v>382</v>
      </c>
      <c r="KJ2" s="84" t="s">
        <v>383</v>
      </c>
      <c r="KK2" s="84" t="s">
        <v>14</v>
      </c>
      <c r="KL2" s="113" t="s">
        <v>375</v>
      </c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5"/>
      <c r="LF2" s="70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11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3"/>
      <c r="MT2" s="107"/>
      <c r="MU2" s="85"/>
      <c r="MV2" s="85"/>
      <c r="MW2" s="102"/>
      <c r="MX2" s="111"/>
      <c r="MY2" s="100"/>
      <c r="MZ2" s="100"/>
      <c r="NA2" s="101" t="s">
        <v>381</v>
      </c>
      <c r="NB2" s="102"/>
      <c r="NC2" s="83"/>
      <c r="ND2" s="103"/>
      <c r="NE2" s="103"/>
      <c r="NF2" s="97"/>
      <c r="NG2" s="92"/>
      <c r="NH2" s="95"/>
      <c r="NI2" s="95"/>
      <c r="NJ2" s="85"/>
      <c r="NK2" s="97"/>
    </row>
    <row r="3" spans="1:376" s="5" customFormat="1" ht="75" hidden="1" customHeight="1" outlineLevel="1" x14ac:dyDescent="0.25">
      <c r="A3" s="87"/>
      <c r="B3" s="123"/>
      <c r="C3" s="66"/>
      <c r="D3" s="66"/>
      <c r="E3" s="85"/>
      <c r="F3" s="125"/>
      <c r="G3" s="125"/>
      <c r="H3" s="125"/>
      <c r="I3" s="68"/>
      <c r="J3" s="68"/>
      <c r="K3" s="85"/>
      <c r="L3" s="87"/>
      <c r="M3" s="87"/>
      <c r="N3" s="85"/>
      <c r="O3" s="85"/>
      <c r="P3" s="85"/>
      <c r="Q3" s="85"/>
      <c r="R3" s="87"/>
      <c r="S3" s="107"/>
      <c r="T3" s="107"/>
      <c r="U3" s="107"/>
      <c r="V3" s="85"/>
      <c r="W3" s="85"/>
      <c r="X3" s="107"/>
      <c r="Y3" s="64"/>
      <c r="Z3" s="64"/>
      <c r="AA3" s="64"/>
      <c r="AB3" s="64"/>
      <c r="AC3" s="87"/>
      <c r="AD3" s="99"/>
      <c r="AE3" s="82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2"/>
      <c r="AW3" s="82"/>
      <c r="AX3" s="82"/>
      <c r="AY3" s="82"/>
      <c r="AZ3" s="75"/>
      <c r="BA3" s="75"/>
      <c r="BB3" s="82"/>
      <c r="BC3" s="82"/>
      <c r="BD3" s="82"/>
      <c r="BE3" s="82"/>
      <c r="BF3" s="82"/>
      <c r="BG3" s="82"/>
      <c r="BH3" s="75"/>
      <c r="BI3" s="75"/>
      <c r="BJ3" s="75"/>
      <c r="BK3" s="79"/>
      <c r="BL3" s="80"/>
      <c r="BM3" s="80"/>
      <c r="BN3" s="80"/>
      <c r="BO3" s="81"/>
      <c r="BP3" s="75"/>
      <c r="BQ3" s="75"/>
      <c r="BR3" s="75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75"/>
      <c r="EV3" s="75"/>
      <c r="EW3" s="75"/>
      <c r="EX3" s="79"/>
      <c r="EY3" s="80"/>
      <c r="EZ3" s="80"/>
      <c r="FA3" s="80"/>
      <c r="FB3" s="80"/>
      <c r="FC3" s="80"/>
      <c r="FD3" s="80"/>
      <c r="FE3" s="80"/>
      <c r="FF3" s="80"/>
      <c r="FG3" s="80"/>
      <c r="FH3" s="80"/>
      <c r="FI3" s="80"/>
      <c r="FJ3" s="80"/>
      <c r="FK3" s="80"/>
      <c r="FL3" s="80"/>
      <c r="FM3" s="80"/>
      <c r="FN3" s="80"/>
      <c r="FO3" s="80"/>
      <c r="FP3" s="80"/>
      <c r="FQ3" s="80"/>
      <c r="FR3" s="80"/>
      <c r="FS3" s="80"/>
      <c r="FT3" s="80"/>
      <c r="FU3" s="80"/>
      <c r="FV3" s="80"/>
      <c r="FW3" s="80"/>
      <c r="FX3" s="80"/>
      <c r="FY3" s="80"/>
      <c r="FZ3" s="80"/>
      <c r="GA3" s="80"/>
      <c r="GB3" s="80"/>
      <c r="GC3" s="80"/>
      <c r="GD3" s="80"/>
      <c r="GE3" s="80"/>
      <c r="GF3" s="80"/>
      <c r="GG3" s="80"/>
      <c r="GH3" s="80"/>
      <c r="GI3" s="80"/>
      <c r="GJ3" s="80"/>
      <c r="GK3" s="80"/>
      <c r="GL3" s="80"/>
      <c r="GM3" s="80"/>
      <c r="GN3" s="80"/>
      <c r="GO3" s="80"/>
      <c r="GP3" s="80"/>
      <c r="GQ3" s="80"/>
      <c r="GR3" s="80"/>
      <c r="GS3" s="80"/>
      <c r="GT3" s="80"/>
      <c r="GU3" s="80"/>
      <c r="GV3" s="80"/>
      <c r="GW3" s="80"/>
      <c r="GX3" s="80"/>
      <c r="GY3" s="80"/>
      <c r="GZ3" s="80"/>
      <c r="HA3" s="80"/>
      <c r="HB3" s="80"/>
      <c r="HC3" s="80"/>
      <c r="HD3" s="80"/>
      <c r="HE3" s="80"/>
      <c r="HF3" s="80"/>
      <c r="HG3" s="80"/>
      <c r="HH3" s="80"/>
      <c r="HI3" s="80"/>
      <c r="HJ3" s="80"/>
      <c r="HK3" s="80"/>
      <c r="HL3" s="80"/>
      <c r="HM3" s="80"/>
      <c r="HN3" s="80"/>
      <c r="HO3" s="80"/>
      <c r="HP3" s="80"/>
      <c r="HQ3" s="80"/>
      <c r="HR3" s="80"/>
      <c r="HS3" s="80"/>
      <c r="HT3" s="80"/>
      <c r="HU3" s="80"/>
      <c r="HV3" s="80"/>
      <c r="HW3" s="80"/>
      <c r="HX3" s="80"/>
      <c r="HY3" s="81"/>
      <c r="HZ3" s="75"/>
      <c r="IA3" s="75"/>
      <c r="IB3" s="75"/>
      <c r="IC3" s="82"/>
      <c r="ID3" s="82"/>
      <c r="IE3" s="82"/>
      <c r="IF3" s="82"/>
      <c r="IG3" s="82"/>
      <c r="IH3" s="82"/>
      <c r="II3" s="82"/>
      <c r="IJ3" s="82"/>
      <c r="IK3" s="82"/>
      <c r="IL3" s="82"/>
      <c r="IM3" s="82"/>
      <c r="IN3" s="82"/>
      <c r="IO3" s="6"/>
      <c r="IP3" s="6"/>
      <c r="IQ3" s="87"/>
      <c r="IR3" s="85"/>
      <c r="IS3" s="85"/>
      <c r="IT3" s="107"/>
      <c r="IU3" s="85"/>
      <c r="IV3" s="87"/>
      <c r="IW3" s="87"/>
      <c r="IX3" s="87"/>
      <c r="IY3" s="85"/>
      <c r="IZ3" s="85"/>
      <c r="JA3" s="85"/>
      <c r="JB3" s="62"/>
      <c r="JC3" s="62"/>
      <c r="JD3" s="62"/>
      <c r="JE3" s="102"/>
      <c r="JF3" s="102"/>
      <c r="JG3" s="85"/>
      <c r="JH3" s="107"/>
      <c r="JI3" s="62"/>
      <c r="JJ3" s="62"/>
      <c r="JK3" s="62"/>
      <c r="JL3" s="87"/>
      <c r="JM3" s="85"/>
      <c r="JN3" s="107"/>
      <c r="JO3" s="85"/>
      <c r="JP3" s="102"/>
      <c r="JQ3" s="62"/>
      <c r="JR3" s="87"/>
      <c r="JS3" s="85"/>
      <c r="JT3" s="85"/>
      <c r="JU3" s="85"/>
      <c r="JV3" s="85"/>
      <c r="JW3" s="85"/>
      <c r="JX3" s="85"/>
      <c r="JY3" s="85"/>
      <c r="JZ3" s="111"/>
      <c r="KA3" s="83"/>
      <c r="KB3" s="95"/>
      <c r="KC3" s="87"/>
      <c r="KD3" s="87"/>
      <c r="KE3" s="85"/>
      <c r="KF3" s="102"/>
      <c r="KG3" s="102"/>
      <c r="KH3" s="87"/>
      <c r="KI3" s="85"/>
      <c r="KJ3" s="85"/>
      <c r="KK3" s="85"/>
      <c r="KL3" s="116"/>
      <c r="KM3" s="117"/>
      <c r="KN3" s="117"/>
      <c r="KO3" s="117"/>
      <c r="KP3" s="117"/>
      <c r="KQ3" s="117"/>
      <c r="KR3" s="117"/>
      <c r="KS3" s="117"/>
      <c r="KT3" s="117"/>
      <c r="KU3" s="117"/>
      <c r="KV3" s="117"/>
      <c r="KW3" s="117"/>
      <c r="KX3" s="117"/>
      <c r="KY3" s="117"/>
      <c r="KZ3" s="117"/>
      <c r="LA3" s="117"/>
      <c r="LB3" s="117"/>
      <c r="LC3" s="117"/>
      <c r="LD3" s="117"/>
      <c r="LE3" s="118"/>
      <c r="LF3" s="71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11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3"/>
      <c r="MT3" s="107"/>
      <c r="MU3" s="85"/>
      <c r="MV3" s="85"/>
      <c r="MW3" s="102"/>
      <c r="MX3" s="111"/>
      <c r="MY3" s="100"/>
      <c r="MZ3" s="100"/>
      <c r="NA3" s="105"/>
      <c r="NB3" s="102"/>
      <c r="NC3" s="83"/>
      <c r="ND3" s="103"/>
      <c r="NE3" s="103"/>
      <c r="NF3" s="97"/>
      <c r="NG3" s="92"/>
      <c r="NH3" s="95"/>
      <c r="NI3" s="95"/>
      <c r="NJ3" s="85"/>
      <c r="NK3" s="97"/>
    </row>
    <row r="4" spans="1:376" s="5" customFormat="1" ht="35.1" customHeight="1" x14ac:dyDescent="0.25">
      <c r="A4" s="87"/>
      <c r="B4" s="123"/>
      <c r="C4" s="66"/>
      <c r="D4" s="66"/>
      <c r="E4" s="85"/>
      <c r="F4" s="125"/>
      <c r="G4" s="125"/>
      <c r="H4" s="125"/>
      <c r="I4" s="68"/>
      <c r="J4" s="68"/>
      <c r="K4" s="91"/>
      <c r="L4" s="87"/>
      <c r="M4" s="87"/>
      <c r="N4" s="85"/>
      <c r="O4" s="85"/>
      <c r="P4" s="85"/>
      <c r="Q4" s="85"/>
      <c r="R4" s="87"/>
      <c r="S4" s="107"/>
      <c r="T4" s="107"/>
      <c r="U4" s="107"/>
      <c r="V4" s="85"/>
      <c r="W4" s="85"/>
      <c r="X4" s="107"/>
      <c r="Y4" s="64"/>
      <c r="Z4" s="64"/>
      <c r="AA4" s="64"/>
      <c r="AB4" s="64"/>
      <c r="AC4" s="87"/>
      <c r="AD4" s="8" t="s">
        <v>356</v>
      </c>
      <c r="AE4" s="8" t="s">
        <v>72</v>
      </c>
      <c r="AF4" s="8" t="s">
        <v>1</v>
      </c>
      <c r="AG4" s="8" t="s">
        <v>73</v>
      </c>
      <c r="AH4" s="8" t="s">
        <v>74</v>
      </c>
      <c r="AI4" s="8" t="s">
        <v>4</v>
      </c>
      <c r="AJ4" s="8" t="s">
        <v>75</v>
      </c>
      <c r="AK4" s="8" t="s">
        <v>76</v>
      </c>
      <c r="AL4" s="8" t="s">
        <v>77</v>
      </c>
      <c r="AM4" s="8" t="s">
        <v>7</v>
      </c>
      <c r="AN4" s="8" t="s">
        <v>78</v>
      </c>
      <c r="AO4" s="8" t="s">
        <v>8</v>
      </c>
      <c r="AP4" s="8" t="s">
        <v>79</v>
      </c>
      <c r="AQ4" s="8" t="s">
        <v>80</v>
      </c>
      <c r="AR4" s="8" t="s">
        <v>81</v>
      </c>
      <c r="AS4" s="8" t="s">
        <v>82</v>
      </c>
      <c r="AT4" s="8" t="s">
        <v>83</v>
      </c>
      <c r="AU4" s="8" t="s">
        <v>84</v>
      </c>
      <c r="AV4" s="8" t="s">
        <v>85</v>
      </c>
      <c r="AW4" s="8" t="s">
        <v>86</v>
      </c>
      <c r="AX4" s="8" t="s">
        <v>87</v>
      </c>
      <c r="AY4" s="8" t="s">
        <v>88</v>
      </c>
      <c r="AZ4" s="8"/>
      <c r="BA4" s="8"/>
      <c r="BB4" s="8" t="s">
        <v>89</v>
      </c>
      <c r="BC4" s="8" t="s">
        <v>90</v>
      </c>
      <c r="BD4" s="8" t="s">
        <v>15</v>
      </c>
      <c r="BE4" s="8" t="s">
        <v>91</v>
      </c>
      <c r="BF4" s="8" t="s">
        <v>92</v>
      </c>
      <c r="BG4" s="8" t="s">
        <v>93</v>
      </c>
      <c r="BH4" s="8"/>
      <c r="BI4" s="8"/>
      <c r="BJ4" s="8"/>
      <c r="BK4" s="8" t="s">
        <v>460</v>
      </c>
      <c r="BL4" s="8" t="s">
        <v>94</v>
      </c>
      <c r="BM4" s="8" t="s">
        <v>94</v>
      </c>
      <c r="BN4" s="8" t="s">
        <v>94</v>
      </c>
      <c r="BO4" s="8" t="s">
        <v>94</v>
      </c>
      <c r="BP4" s="8"/>
      <c r="BQ4" s="8"/>
      <c r="BR4" s="8"/>
      <c r="BS4" s="8" t="s">
        <v>95</v>
      </c>
      <c r="BT4" s="8" t="s">
        <v>97</v>
      </c>
      <c r="BU4" s="8" t="s">
        <v>99</v>
      </c>
      <c r="BV4" s="8" t="s">
        <v>101</v>
      </c>
      <c r="BW4" s="8" t="s">
        <v>5</v>
      </c>
      <c r="BX4" s="8" t="s">
        <v>103</v>
      </c>
      <c r="BY4" s="8" t="s">
        <v>105</v>
      </c>
      <c r="BZ4" s="8" t="s">
        <v>107</v>
      </c>
      <c r="CA4" s="8" t="s">
        <v>109</v>
      </c>
      <c r="CB4" s="8" t="s">
        <v>111</v>
      </c>
      <c r="CC4" s="8" t="s">
        <v>113</v>
      </c>
      <c r="CD4" s="8" t="s">
        <v>115</v>
      </c>
      <c r="CE4" s="8" t="s">
        <v>117</v>
      </c>
      <c r="CF4" s="8" t="s">
        <v>119</v>
      </c>
      <c r="CG4" s="8" t="s">
        <v>121</v>
      </c>
      <c r="CH4" s="8" t="s">
        <v>123</v>
      </c>
      <c r="CI4" s="8" t="s">
        <v>125</v>
      </c>
      <c r="CJ4" s="8" t="s">
        <v>126</v>
      </c>
      <c r="CK4" s="8" t="s">
        <v>127</v>
      </c>
      <c r="CL4" s="8" t="s">
        <v>128</v>
      </c>
      <c r="CM4" s="8" t="s">
        <v>129</v>
      </c>
      <c r="CN4" s="8" t="s">
        <v>130</v>
      </c>
      <c r="CO4" s="8" t="s">
        <v>131</v>
      </c>
      <c r="CP4" s="8" t="s">
        <v>132</v>
      </c>
      <c r="CQ4" s="8" t="s">
        <v>133</v>
      </c>
      <c r="CR4" s="8" t="s">
        <v>135</v>
      </c>
      <c r="CS4" s="8" t="s">
        <v>137</v>
      </c>
      <c r="CT4" s="8" t="s">
        <v>139</v>
      </c>
      <c r="CU4" s="8" t="s">
        <v>141</v>
      </c>
      <c r="CV4" s="8" t="s">
        <v>143</v>
      </c>
      <c r="CW4" s="8" t="s">
        <v>145</v>
      </c>
      <c r="CX4" s="8" t="s">
        <v>147</v>
      </c>
      <c r="CY4" s="8" t="s">
        <v>149</v>
      </c>
      <c r="CZ4" s="8" t="s">
        <v>151</v>
      </c>
      <c r="DA4" s="8" t="s">
        <v>153</v>
      </c>
      <c r="DB4" s="8" t="s">
        <v>155</v>
      </c>
      <c r="DC4" s="8" t="s">
        <v>157</v>
      </c>
      <c r="DD4" s="8" t="s">
        <v>159</v>
      </c>
      <c r="DE4" s="8" t="s">
        <v>161</v>
      </c>
      <c r="DF4" s="8" t="s">
        <v>163</v>
      </c>
      <c r="DG4" s="8" t="s">
        <v>165</v>
      </c>
      <c r="DH4" s="8" t="s">
        <v>167</v>
      </c>
      <c r="DI4" s="8" t="s">
        <v>169</v>
      </c>
      <c r="DJ4" s="8" t="s">
        <v>171</v>
      </c>
      <c r="DK4" s="8" t="s">
        <v>173</v>
      </c>
      <c r="DL4" s="8" t="s">
        <v>175</v>
      </c>
      <c r="DM4" s="8" t="s">
        <v>177</v>
      </c>
      <c r="DN4" s="8" t="s">
        <v>179</v>
      </c>
      <c r="DO4" s="8" t="s">
        <v>181</v>
      </c>
      <c r="DP4" s="8" t="s">
        <v>183</v>
      </c>
      <c r="DQ4" s="8" t="s">
        <v>185</v>
      </c>
      <c r="DR4" s="8" t="s">
        <v>187</v>
      </c>
      <c r="DS4" s="8" t="s">
        <v>189</v>
      </c>
      <c r="DT4" s="8" t="s">
        <v>191</v>
      </c>
      <c r="DU4" s="8" t="s">
        <v>193</v>
      </c>
      <c r="DV4" s="8" t="s">
        <v>195</v>
      </c>
      <c r="DW4" s="8" t="s">
        <v>197</v>
      </c>
      <c r="DX4" s="8" t="s">
        <v>199</v>
      </c>
      <c r="DY4" s="8" t="s">
        <v>201</v>
      </c>
      <c r="DZ4" s="8" t="s">
        <v>203</v>
      </c>
      <c r="EA4" s="8" t="s">
        <v>205</v>
      </c>
      <c r="EB4" s="8" t="s">
        <v>207</v>
      </c>
      <c r="EC4" s="8" t="s">
        <v>209</v>
      </c>
      <c r="ED4" s="8" t="s">
        <v>211</v>
      </c>
      <c r="EE4" s="8" t="s">
        <v>213</v>
      </c>
      <c r="EF4" s="8" t="s">
        <v>215</v>
      </c>
      <c r="EG4" s="8" t="s">
        <v>217</v>
      </c>
      <c r="EH4" s="8" t="s">
        <v>219</v>
      </c>
      <c r="EI4" s="8" t="s">
        <v>221</v>
      </c>
      <c r="EJ4" s="8" t="s">
        <v>223</v>
      </c>
      <c r="EK4" s="8" t="s">
        <v>225</v>
      </c>
      <c r="EL4" s="8" t="s">
        <v>227</v>
      </c>
      <c r="EM4" s="8" t="s">
        <v>229</v>
      </c>
      <c r="EN4" s="8" t="s">
        <v>231</v>
      </c>
      <c r="EO4" s="8" t="s">
        <v>233</v>
      </c>
      <c r="EP4" s="8" t="s">
        <v>235</v>
      </c>
      <c r="EQ4" s="8" t="s">
        <v>237</v>
      </c>
      <c r="ER4" s="8" t="s">
        <v>239</v>
      </c>
      <c r="ES4" s="8" t="s">
        <v>241</v>
      </c>
      <c r="ET4" s="8" t="s">
        <v>243</v>
      </c>
      <c r="EU4" s="8"/>
      <c r="EV4" s="8"/>
      <c r="EW4" s="8"/>
      <c r="EX4" s="8" t="s">
        <v>96</v>
      </c>
      <c r="EY4" s="8" t="s">
        <v>98</v>
      </c>
      <c r="EZ4" s="8" t="s">
        <v>100</v>
      </c>
      <c r="FA4" s="8" t="s">
        <v>102</v>
      </c>
      <c r="FB4" s="8" t="s">
        <v>6</v>
      </c>
      <c r="FC4" s="8" t="s">
        <v>104</v>
      </c>
      <c r="FD4" s="8" t="s">
        <v>106</v>
      </c>
      <c r="FE4" s="8" t="s">
        <v>108</v>
      </c>
      <c r="FF4" s="8" t="s">
        <v>110</v>
      </c>
      <c r="FG4" s="8" t="s">
        <v>112</v>
      </c>
      <c r="FH4" s="8" t="s">
        <v>114</v>
      </c>
      <c r="FI4" s="8" t="s">
        <v>116</v>
      </c>
      <c r="FJ4" s="8" t="s">
        <v>118</v>
      </c>
      <c r="FK4" s="8" t="s">
        <v>120</v>
      </c>
      <c r="FL4" s="8" t="s">
        <v>122</v>
      </c>
      <c r="FM4" s="8" t="s">
        <v>124</v>
      </c>
      <c r="FN4" s="8" t="s">
        <v>125</v>
      </c>
      <c r="FO4" s="8" t="s">
        <v>126</v>
      </c>
      <c r="FP4" s="8" t="s">
        <v>127</v>
      </c>
      <c r="FQ4" s="8" t="s">
        <v>128</v>
      </c>
      <c r="FR4" s="8" t="s">
        <v>129</v>
      </c>
      <c r="FS4" s="8" t="s">
        <v>130</v>
      </c>
      <c r="FT4" s="8" t="s">
        <v>131</v>
      </c>
      <c r="FU4" s="8" t="s">
        <v>132</v>
      </c>
      <c r="FV4" s="8" t="s">
        <v>134</v>
      </c>
      <c r="FW4" s="8" t="s">
        <v>136</v>
      </c>
      <c r="FX4" s="8" t="s">
        <v>138</v>
      </c>
      <c r="FY4" s="8" t="s">
        <v>140</v>
      </c>
      <c r="FZ4" s="8" t="s">
        <v>142</v>
      </c>
      <c r="GA4" s="8" t="s">
        <v>144</v>
      </c>
      <c r="GB4" s="8" t="s">
        <v>146</v>
      </c>
      <c r="GC4" s="8" t="s">
        <v>148</v>
      </c>
      <c r="GD4" s="8" t="s">
        <v>150</v>
      </c>
      <c r="GE4" s="8" t="s">
        <v>152</v>
      </c>
      <c r="GF4" s="8" t="s">
        <v>154</v>
      </c>
      <c r="GG4" s="8" t="s">
        <v>156</v>
      </c>
      <c r="GH4" s="8" t="s">
        <v>158</v>
      </c>
      <c r="GI4" s="8" t="s">
        <v>160</v>
      </c>
      <c r="GJ4" s="8" t="s">
        <v>162</v>
      </c>
      <c r="GK4" s="8" t="s">
        <v>164</v>
      </c>
      <c r="GL4" s="8" t="s">
        <v>166</v>
      </c>
      <c r="GM4" s="8" t="s">
        <v>168</v>
      </c>
      <c r="GN4" s="8" t="s">
        <v>170</v>
      </c>
      <c r="GO4" s="8" t="s">
        <v>172</v>
      </c>
      <c r="GP4" s="8" t="s">
        <v>174</v>
      </c>
      <c r="GQ4" s="8" t="s">
        <v>176</v>
      </c>
      <c r="GR4" s="8" t="s">
        <v>178</v>
      </c>
      <c r="GS4" s="8" t="s">
        <v>180</v>
      </c>
      <c r="GT4" s="8" t="s">
        <v>182</v>
      </c>
      <c r="GU4" s="8" t="s">
        <v>184</v>
      </c>
      <c r="GV4" s="8" t="s">
        <v>186</v>
      </c>
      <c r="GW4" s="8" t="s">
        <v>188</v>
      </c>
      <c r="GX4" s="8" t="s">
        <v>190</v>
      </c>
      <c r="GY4" s="8" t="s">
        <v>192</v>
      </c>
      <c r="GZ4" s="8" t="s">
        <v>194</v>
      </c>
      <c r="HA4" s="8" t="s">
        <v>196</v>
      </c>
      <c r="HB4" s="8" t="s">
        <v>198</v>
      </c>
      <c r="HC4" s="8" t="s">
        <v>200</v>
      </c>
      <c r="HD4" s="8" t="s">
        <v>202</v>
      </c>
      <c r="HE4" s="8" t="s">
        <v>204</v>
      </c>
      <c r="HF4" s="8" t="s">
        <v>206</v>
      </c>
      <c r="HG4" s="8" t="s">
        <v>208</v>
      </c>
      <c r="HH4" s="8" t="s">
        <v>210</v>
      </c>
      <c r="HI4" s="8" t="s">
        <v>212</v>
      </c>
      <c r="HJ4" s="8" t="s">
        <v>214</v>
      </c>
      <c r="HK4" s="8" t="s">
        <v>216</v>
      </c>
      <c r="HL4" s="8" t="s">
        <v>218</v>
      </c>
      <c r="HM4" s="8" t="s">
        <v>220</v>
      </c>
      <c r="HN4" s="8" t="s">
        <v>222</v>
      </c>
      <c r="HO4" s="8" t="s">
        <v>224</v>
      </c>
      <c r="HP4" s="8" t="s">
        <v>226</v>
      </c>
      <c r="HQ4" s="8" t="s">
        <v>228</v>
      </c>
      <c r="HR4" s="8" t="s">
        <v>230</v>
      </c>
      <c r="HS4" s="8" t="s">
        <v>232</v>
      </c>
      <c r="HT4" s="8" t="s">
        <v>234</v>
      </c>
      <c r="HU4" s="8" t="s">
        <v>236</v>
      </c>
      <c r="HV4" s="8" t="s">
        <v>238</v>
      </c>
      <c r="HW4" s="8" t="s">
        <v>240</v>
      </c>
      <c r="HX4" s="8" t="s">
        <v>242</v>
      </c>
      <c r="HY4" s="8" t="s">
        <v>244</v>
      </c>
      <c r="HZ4" s="8"/>
      <c r="IA4" s="8"/>
      <c r="IB4" s="8"/>
      <c r="IC4" s="8" t="s">
        <v>245</v>
      </c>
      <c r="ID4" s="8" t="s">
        <v>246</v>
      </c>
      <c r="IE4" s="8" t="s">
        <v>247</v>
      </c>
      <c r="IF4" s="8" t="s">
        <v>248</v>
      </c>
      <c r="IG4" s="8" t="s">
        <v>249</v>
      </c>
      <c r="IH4" s="8" t="s">
        <v>250</v>
      </c>
      <c r="II4" s="8" t="s">
        <v>251</v>
      </c>
      <c r="IJ4" s="8" t="s">
        <v>252</v>
      </c>
      <c r="IK4" s="8" t="s">
        <v>253</v>
      </c>
      <c r="IL4" s="8" t="s">
        <v>254</v>
      </c>
      <c r="IM4" s="61" t="s">
        <v>255</v>
      </c>
      <c r="IN4" s="61" t="s">
        <v>256</v>
      </c>
      <c r="IO4" s="62"/>
      <c r="IP4" s="62"/>
      <c r="IQ4" s="87"/>
      <c r="IR4" s="85"/>
      <c r="IS4" s="85"/>
      <c r="IT4" s="107"/>
      <c r="IU4" s="85"/>
      <c r="IV4" s="87"/>
      <c r="IW4" s="87"/>
      <c r="IX4" s="87"/>
      <c r="IY4" s="85"/>
      <c r="IZ4" s="85"/>
      <c r="JA4" s="85"/>
      <c r="JB4" s="62"/>
      <c r="JC4" s="62"/>
      <c r="JD4" s="62"/>
      <c r="JE4" s="102"/>
      <c r="JF4" s="102"/>
      <c r="JG4" s="85"/>
      <c r="JH4" s="107"/>
      <c r="JI4" s="62"/>
      <c r="JJ4" s="62"/>
      <c r="JK4" s="62"/>
      <c r="JL4" s="87"/>
      <c r="JM4" s="85"/>
      <c r="JN4" s="107"/>
      <c r="JO4" s="91"/>
      <c r="JP4" s="109"/>
      <c r="JQ4" s="62"/>
      <c r="JR4" s="87"/>
      <c r="JS4" s="85"/>
      <c r="JT4" s="85"/>
      <c r="JU4" s="85"/>
      <c r="JV4" s="85"/>
      <c r="JW4" s="85"/>
      <c r="JX4" s="91"/>
      <c r="JY4" s="91"/>
      <c r="JZ4" s="112"/>
      <c r="KA4" s="83"/>
      <c r="KB4" s="95"/>
      <c r="KC4" s="87"/>
      <c r="KD4" s="87"/>
      <c r="KE4" s="85"/>
      <c r="KF4" s="102"/>
      <c r="KG4" s="102"/>
      <c r="KH4" s="87"/>
      <c r="KI4" s="85"/>
      <c r="KJ4" s="85"/>
      <c r="KK4" s="85"/>
      <c r="KL4" s="61" t="s">
        <v>365</v>
      </c>
      <c r="KM4" s="2" t="s">
        <v>376</v>
      </c>
      <c r="KN4" s="61" t="s">
        <v>366</v>
      </c>
      <c r="KO4" s="2" t="s">
        <v>376</v>
      </c>
      <c r="KP4" s="61" t="s">
        <v>367</v>
      </c>
      <c r="KQ4" s="61" t="s">
        <v>376</v>
      </c>
      <c r="KR4" s="61" t="s">
        <v>368</v>
      </c>
      <c r="KS4" s="61" t="s">
        <v>376</v>
      </c>
      <c r="KT4" s="61" t="s">
        <v>369</v>
      </c>
      <c r="KU4" s="61" t="s">
        <v>376</v>
      </c>
      <c r="KV4" s="61" t="s">
        <v>370</v>
      </c>
      <c r="KW4" s="61" t="s">
        <v>376</v>
      </c>
      <c r="KX4" s="22" t="s">
        <v>371</v>
      </c>
      <c r="KY4" s="61" t="s">
        <v>376</v>
      </c>
      <c r="KZ4" s="22" t="s">
        <v>372</v>
      </c>
      <c r="LA4" s="61" t="s">
        <v>376</v>
      </c>
      <c r="LB4" s="22" t="s">
        <v>373</v>
      </c>
      <c r="LC4" s="61" t="s">
        <v>376</v>
      </c>
      <c r="LD4" s="22" t="s">
        <v>374</v>
      </c>
      <c r="LE4" s="61" t="s">
        <v>376</v>
      </c>
      <c r="LF4" s="22" t="s">
        <v>390</v>
      </c>
      <c r="LG4" s="61" t="s">
        <v>376</v>
      </c>
      <c r="LH4" s="22" t="s">
        <v>391</v>
      </c>
      <c r="LI4" s="69" t="s">
        <v>376</v>
      </c>
      <c r="LJ4" s="22" t="s">
        <v>392</v>
      </c>
      <c r="LK4" s="61" t="s">
        <v>376</v>
      </c>
      <c r="LL4" s="22" t="s">
        <v>393</v>
      </c>
      <c r="LM4" s="61" t="s">
        <v>376</v>
      </c>
      <c r="LN4" s="22" t="s">
        <v>394</v>
      </c>
      <c r="LO4" s="69" t="s">
        <v>376</v>
      </c>
      <c r="LP4" s="22" t="s">
        <v>395</v>
      </c>
      <c r="LQ4" s="61" t="s">
        <v>376</v>
      </c>
      <c r="LR4" s="22" t="s">
        <v>396</v>
      </c>
      <c r="LS4" s="61" t="s">
        <v>376</v>
      </c>
      <c r="LT4" s="22" t="s">
        <v>397</v>
      </c>
      <c r="LU4" s="69" t="s">
        <v>376</v>
      </c>
      <c r="LV4" s="22" t="s">
        <v>398</v>
      </c>
      <c r="LW4" s="61" t="s">
        <v>376</v>
      </c>
      <c r="LX4" s="22" t="s">
        <v>399</v>
      </c>
      <c r="LY4" s="61" t="s">
        <v>376</v>
      </c>
      <c r="LZ4" s="22" t="s">
        <v>400</v>
      </c>
      <c r="MA4" s="69" t="s">
        <v>376</v>
      </c>
      <c r="MB4" s="22" t="s">
        <v>401</v>
      </c>
      <c r="MC4" s="61" t="s">
        <v>376</v>
      </c>
      <c r="MD4" s="22" t="s">
        <v>402</v>
      </c>
      <c r="ME4" s="61" t="s">
        <v>376</v>
      </c>
      <c r="MF4" s="22" t="s">
        <v>403</v>
      </c>
      <c r="MG4" s="69" t="s">
        <v>376</v>
      </c>
      <c r="MH4" s="112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3"/>
      <c r="MT4" s="108"/>
      <c r="MU4" s="91"/>
      <c r="MV4" s="91"/>
      <c r="MW4" s="109"/>
      <c r="MX4" s="112"/>
      <c r="MY4" s="101"/>
      <c r="MZ4" s="101"/>
      <c r="NA4" s="106"/>
      <c r="NB4" s="102"/>
      <c r="NC4" s="84"/>
      <c r="ND4" s="104"/>
      <c r="NE4" s="104"/>
      <c r="NF4" s="98"/>
      <c r="NG4" s="93"/>
      <c r="NH4" s="95"/>
      <c r="NI4" s="95"/>
      <c r="NJ4" s="91"/>
      <c r="NK4" s="98"/>
      <c r="NL4" s="5" t="e">
        <f ca="1">_xludf.now()</f>
        <v>#NAME?</v>
      </c>
    </row>
    <row r="5" spans="1:376" s="5" customFormat="1" ht="12.75" customHeight="1" x14ac:dyDescent="0.25">
      <c r="A5" s="22"/>
      <c r="B5" s="9"/>
      <c r="C5" s="9"/>
      <c r="D5" s="9"/>
      <c r="E5" s="1"/>
      <c r="F5" s="22"/>
      <c r="G5" s="22"/>
      <c r="H5" s="22"/>
      <c r="I5" s="23"/>
      <c r="J5" s="22"/>
      <c r="K5" s="22"/>
      <c r="L5" s="10"/>
      <c r="M5" s="10"/>
      <c r="N5" s="10"/>
      <c r="O5" s="10"/>
      <c r="P5" s="10"/>
      <c r="Q5" s="10"/>
      <c r="R5" s="10"/>
      <c r="S5" s="11"/>
      <c r="T5" s="11"/>
      <c r="U5" s="11"/>
      <c r="V5" s="10"/>
      <c r="W5" s="10"/>
      <c r="X5" s="11"/>
      <c r="Y5" s="10"/>
      <c r="Z5" s="10"/>
      <c r="AA5" s="10"/>
      <c r="AB5" s="10"/>
      <c r="AC5" s="10"/>
      <c r="AD5" s="10"/>
      <c r="AE5" s="22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2"/>
      <c r="IN5" s="22"/>
      <c r="IO5" s="22"/>
      <c r="IP5" s="22"/>
      <c r="IQ5" s="10"/>
      <c r="IR5" s="22"/>
      <c r="IS5" s="22"/>
      <c r="IT5" s="24"/>
      <c r="IU5" s="22"/>
      <c r="IV5" s="22"/>
      <c r="IW5" s="22"/>
      <c r="IX5" s="10"/>
      <c r="IY5" s="22"/>
      <c r="IZ5" s="22"/>
      <c r="JA5" s="22"/>
      <c r="JB5" s="22"/>
      <c r="JC5" s="22"/>
      <c r="JD5" s="22"/>
      <c r="JE5" s="23"/>
      <c r="JF5" s="23"/>
      <c r="JG5" s="22"/>
      <c r="JH5" s="24"/>
      <c r="JI5" s="22"/>
      <c r="JJ5" s="22"/>
      <c r="JK5" s="22"/>
      <c r="JL5" s="22"/>
      <c r="JM5" s="23"/>
      <c r="JN5" s="23">
        <v>45124</v>
      </c>
      <c r="JO5" s="22"/>
      <c r="JP5" s="23"/>
      <c r="JQ5" s="22"/>
      <c r="JR5" s="22"/>
      <c r="JS5" s="22"/>
      <c r="JT5" s="10"/>
      <c r="JU5" s="10"/>
      <c r="JV5" s="10"/>
      <c r="JW5" s="10"/>
      <c r="JX5" s="10"/>
      <c r="JY5" s="10"/>
      <c r="JZ5" s="1"/>
      <c r="KA5" s="22"/>
      <c r="KB5" s="23"/>
      <c r="KC5" s="22"/>
      <c r="KD5" s="22"/>
      <c r="KE5" s="22"/>
      <c r="KF5" s="23"/>
      <c r="KG5" s="23"/>
      <c r="KH5" s="22"/>
      <c r="KI5" s="22"/>
      <c r="KJ5" s="22"/>
      <c r="KK5" s="22"/>
      <c r="KL5" s="22"/>
      <c r="KM5" s="1"/>
      <c r="KN5" s="22"/>
      <c r="KO5" s="1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12"/>
      <c r="LD5" s="12"/>
      <c r="LE5" s="22"/>
      <c r="LF5" s="22"/>
      <c r="LG5" s="22"/>
      <c r="LH5" s="22"/>
      <c r="LI5" s="24"/>
      <c r="LJ5" s="22"/>
      <c r="LK5" s="22"/>
      <c r="LL5" s="22"/>
      <c r="LM5" s="22"/>
      <c r="LN5" s="22"/>
      <c r="LO5" s="24"/>
      <c r="LP5" s="22"/>
      <c r="LQ5" s="22"/>
      <c r="LR5" s="22"/>
      <c r="LS5" s="22"/>
      <c r="LT5" s="22"/>
      <c r="LU5" s="24"/>
      <c r="LV5" s="22"/>
      <c r="LW5" s="22"/>
      <c r="LX5" s="22"/>
      <c r="LY5" s="22"/>
      <c r="LZ5" s="22"/>
      <c r="MA5" s="24"/>
      <c r="MB5" s="22"/>
      <c r="MC5" s="22"/>
      <c r="MD5" s="22"/>
      <c r="ME5" s="22"/>
      <c r="MF5" s="12"/>
      <c r="MG5" s="13"/>
      <c r="MH5" s="12"/>
      <c r="MI5" s="22"/>
      <c r="MJ5" s="23"/>
      <c r="MK5" s="22"/>
      <c r="ML5" s="23"/>
      <c r="MM5" s="22"/>
      <c r="MN5" s="24"/>
      <c r="MO5" s="22"/>
      <c r="MP5" s="23"/>
      <c r="MQ5" s="22"/>
      <c r="MR5" s="23"/>
      <c r="MS5" s="22"/>
      <c r="MT5" s="24"/>
      <c r="MU5" s="12"/>
      <c r="MV5" s="22"/>
      <c r="MW5" s="23"/>
      <c r="MX5" s="22"/>
      <c r="MY5" s="22"/>
      <c r="MZ5" s="14"/>
      <c r="NA5" s="15"/>
      <c r="NB5" s="16"/>
      <c r="NC5" s="16"/>
      <c r="ND5" s="10"/>
      <c r="NE5" s="10"/>
      <c r="NF5" s="14"/>
      <c r="NG5" s="13"/>
      <c r="NH5" s="10"/>
      <c r="NI5" s="10"/>
      <c r="NJ5" s="16"/>
      <c r="NK5" s="23"/>
      <c r="NL5" s="72"/>
    </row>
  </sheetData>
  <sheetProtection autoFilter="0"/>
  <autoFilter ref="A5:NK5" xr:uid="{00000000-0001-0000-0000-000000000000}"/>
  <dataConsolidate/>
  <mergeCells count="125">
    <mergeCell ref="JX1:JX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BI2:BI3"/>
    <mergeCell ref="BJ2:BJ3"/>
    <mergeCell ref="BK2:BO3"/>
    <mergeCell ref="BP2:BP3"/>
    <mergeCell ref="BQ2:BQ3"/>
    <mergeCell ref="BR2:BR3"/>
    <mergeCell ref="AY2:AY3"/>
    <mergeCell ref="AZ2:AZ3"/>
    <mergeCell ref="BA2:BA3"/>
    <mergeCell ref="BB2:BB3"/>
    <mergeCell ref="BC2:BG3"/>
    <mergeCell ref="BH2:BH3"/>
    <mergeCell ref="IA2:IA3"/>
    <mergeCell ref="IB2:IB3"/>
    <mergeCell ref="IC2:IC3"/>
    <mergeCell ref="ID2:ID3"/>
    <mergeCell ref="IE2:IE3"/>
    <mergeCell ref="IF2:IF3"/>
    <mergeCell ref="BS2:ET2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JM1:JM4"/>
    <mergeCell ref="JN1:JN4"/>
    <mergeCell ref="JO1:JO4"/>
    <mergeCell ref="MH1:MH4"/>
    <mergeCell ref="MI1:MR1"/>
    <mergeCell ref="MS1:MS4"/>
    <mergeCell ref="KL2:LE3"/>
    <mergeCell ref="JZ1:JZ4"/>
    <mergeCell ref="KB1:KB4"/>
    <mergeCell ref="KC1:KC4"/>
    <mergeCell ref="KD1:KD4"/>
    <mergeCell ref="KE1:KE4"/>
    <mergeCell ref="KF1:KF4"/>
    <mergeCell ref="KJ2:KJ4"/>
    <mergeCell ref="KK2:KK4"/>
    <mergeCell ref="NG1:NG4"/>
    <mergeCell ref="NH1:NH4"/>
    <mergeCell ref="NI1:NI4"/>
    <mergeCell ref="NJ1:NJ4"/>
    <mergeCell ref="NK1:NK4"/>
    <mergeCell ref="E2:E4"/>
    <mergeCell ref="K2:K4"/>
    <mergeCell ref="AD2:AD3"/>
    <mergeCell ref="AE2:AE3"/>
    <mergeCell ref="AF2:AL2"/>
    <mergeCell ref="MZ1:MZ4"/>
    <mergeCell ref="NB1:NB4"/>
    <mergeCell ref="NC1:NC4"/>
    <mergeCell ref="ND1:ND4"/>
    <mergeCell ref="NE1:NE4"/>
    <mergeCell ref="NF1:NF4"/>
    <mergeCell ref="NA2:NA4"/>
    <mergeCell ref="MT1:MT4"/>
    <mergeCell ref="MU1:MU4"/>
    <mergeCell ref="MV1:MV4"/>
    <mergeCell ref="MW1:MW4"/>
    <mergeCell ref="MX1:MX4"/>
    <mergeCell ref="MY1:MY4"/>
    <mergeCell ref="KG1:KG4"/>
    <mergeCell ref="EU2:EU3"/>
    <mergeCell ref="EV2:EV3"/>
    <mergeCell ref="EW2:EW3"/>
    <mergeCell ref="EX2:HY3"/>
    <mergeCell ref="HZ2:HZ3"/>
    <mergeCell ref="IM2:IM3"/>
    <mergeCell ref="IN2:IN3"/>
    <mergeCell ref="KA2:KA4"/>
    <mergeCell ref="KI2:KI4"/>
    <mergeCell ref="IG2:IG3"/>
    <mergeCell ref="IH2:IH3"/>
    <mergeCell ref="II2:II3"/>
    <mergeCell ref="IJ2:IJ3"/>
    <mergeCell ref="IK2:IK3"/>
    <mergeCell ref="IL2:IL3"/>
    <mergeCell ref="KH1:KH4"/>
    <mergeCell ref="KI1:MG1"/>
    <mergeCell ref="JS1:JS4"/>
    <mergeCell ref="JT1:JT4"/>
    <mergeCell ref="JU1:JU4"/>
    <mergeCell ref="JV1:JV4"/>
    <mergeCell ref="JW1:JW4"/>
    <mergeCell ref="JY1:JY4"/>
    <mergeCell ref="JL1:JL4"/>
  </mergeCells>
  <pageMargins left="0.70866141732283472" right="0.70866141732283472" top="0.74803149606299213" bottom="0.74803149606299213" header="0.31496062992125984" footer="0.31496062992125984"/>
  <pageSetup paperSize="9" scale="2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4</xdr:col>
                <xdr:colOff>695325</xdr:colOff>
                <xdr:row>3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4</xdr:col>
                <xdr:colOff>695325</xdr:colOff>
                <xdr:row>0</xdr:row>
                <xdr:rowOff>0</xdr:rowOff>
              </from>
              <to>
                <xdr:col>4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CommandButton3">
          <controlPr defaultSize="0" autoLine="0" r:id="rId9">
            <anchor moveWithCells="1">
              <from>
                <xdr:col>286</xdr:col>
                <xdr:colOff>9525</xdr:colOff>
                <xdr:row>0</xdr:row>
                <xdr:rowOff>0</xdr:rowOff>
              </from>
              <to>
                <xdr:col>286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45059" r:id="rId8" name="CommandButton3"/>
      </mc:Fallback>
    </mc:AlternateContent>
    <mc:AlternateContent xmlns:mc="http://schemas.openxmlformats.org/markup-compatibility/2006">
      <mc:Choice Requires="x14">
        <control shapeId="45060" r:id="rId10" name="CommandButton4">
          <controlPr defaultSize="0" autoLine="0" r:id="rId11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0" r:id="rId10" name="CommandButton4"/>
      </mc:Fallback>
    </mc:AlternateContent>
    <mc:AlternateContent xmlns:mc="http://schemas.openxmlformats.org/markup-compatibility/2006">
      <mc:Choice Requires="x14">
        <control shapeId="45061" r:id="rId12" name="CommandButton5">
          <controlPr defaultSize="0" autoLine="0" r:id="rId13">
            <anchor moveWithCells="1">
              <from>
                <xdr:col>286</xdr:col>
                <xdr:colOff>542925</xdr:colOff>
                <xdr:row>0</xdr:row>
                <xdr:rowOff>0</xdr:rowOff>
              </from>
              <to>
                <xdr:col>287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1" r:id="rId12" name="CommandButton5"/>
      </mc:Fallback>
    </mc:AlternateContent>
    <mc:AlternateContent xmlns:mc="http://schemas.openxmlformats.org/markup-compatibility/2006">
      <mc:Choice Requires="x14">
        <control shapeId="45062" r:id="rId14" name="CommandButton6">
          <controlPr defaultSize="0" autoLine="0" r:id="rId15">
            <anchor moveWithCells="1">
              <from>
                <xdr:col>4</xdr:col>
                <xdr:colOff>1381125</xdr:colOff>
                <xdr:row>0</xdr:row>
                <xdr:rowOff>0</xdr:rowOff>
              </from>
              <to>
                <xdr:col>4</xdr:col>
                <xdr:colOff>2066925</xdr:colOff>
                <xdr:row>3</xdr:row>
                <xdr:rowOff>0</xdr:rowOff>
              </to>
            </anchor>
          </controlPr>
        </control>
      </mc:Choice>
      <mc:Fallback>
        <control shapeId="45062" r:id="rId14" name="CommandButton6"/>
      </mc:Fallback>
    </mc:AlternateContent>
    <mc:AlternateContent xmlns:mc="http://schemas.openxmlformats.org/markup-compatibility/2006">
      <mc:Choice Requires="x14">
        <control shapeId="45064" r:id="rId16" name="CommandButton7">
          <controlPr defaultSize="0" autoLine="0" r:id="rId17">
            <anchor moveWithCells="1">
              <from>
                <xdr:col>4</xdr:col>
                <xdr:colOff>2066925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4" r:id="rId16" name="CommandButton7"/>
      </mc:Fallback>
    </mc:AlternateContent>
    <mc:AlternateContent xmlns:mc="http://schemas.openxmlformats.org/markup-compatibility/2006">
      <mc:Choice Requires="x14">
        <control shapeId="45063" r:id="rId18" name="Button 7">
          <controlPr defaultSize="0" print="0" autoFill="0" autoPict="0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66" r:id="rId19" name="Button 10">
          <controlPr defaultSize="0" print="0" autoFill="0" autoPict="0" macro="[0]!Norm_Calculation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zoomScaleNormal="100" workbookViewId="0">
      <selection activeCell="C6" sqref="C6"/>
    </sheetView>
  </sheetViews>
  <sheetFormatPr defaultColWidth="9.140625" defaultRowHeight="15" x14ac:dyDescent="0.25"/>
  <cols>
    <col min="1" max="1" width="9.140625" style="55"/>
    <col min="2" max="2" width="43.28515625" style="56" customWidth="1"/>
    <col min="3" max="3" width="20.140625" style="55" customWidth="1"/>
    <col min="4" max="4" width="20.140625" style="60" customWidth="1"/>
    <col min="5" max="5" width="9.140625" style="54"/>
    <col min="6" max="16384" width="9.140625" style="48"/>
  </cols>
  <sheetData>
    <row r="1" spans="1:4" ht="30" customHeight="1" x14ac:dyDescent="0.25">
      <c r="A1" s="129" t="s">
        <v>457</v>
      </c>
      <c r="B1" s="129"/>
      <c r="C1" s="129"/>
      <c r="D1" s="129"/>
    </row>
    <row r="2" spans="1:4" ht="30" customHeight="1" x14ac:dyDescent="0.25">
      <c r="A2" s="46" t="s">
        <v>442</v>
      </c>
      <c r="B2" s="47" t="s">
        <v>377</v>
      </c>
      <c r="C2" s="46" t="s">
        <v>443</v>
      </c>
      <c r="D2" s="59" t="s">
        <v>444</v>
      </c>
    </row>
    <row r="3" spans="1:4" ht="30" customHeight="1" x14ac:dyDescent="0.25">
      <c r="A3" s="46">
        <v>1</v>
      </c>
      <c r="B3" s="47" t="s">
        <v>418</v>
      </c>
      <c r="C3" s="46">
        <v>8</v>
      </c>
      <c r="D3" s="59">
        <v>6.672226855713094E-3</v>
      </c>
    </row>
    <row r="4" spans="1:4" ht="30" customHeight="1" x14ac:dyDescent="0.25">
      <c r="A4" s="46">
        <v>2</v>
      </c>
      <c r="B4" s="47" t="s">
        <v>440</v>
      </c>
      <c r="C4" s="46">
        <v>0</v>
      </c>
      <c r="D4" s="59">
        <v>0</v>
      </c>
    </row>
    <row r="5" spans="1:4" ht="30" customHeight="1" x14ac:dyDescent="0.25">
      <c r="A5" s="46">
        <v>3</v>
      </c>
      <c r="B5" s="47" t="s">
        <v>450</v>
      </c>
      <c r="C5" s="46">
        <v>1</v>
      </c>
      <c r="D5" s="59">
        <v>8.3402835696413675E-4</v>
      </c>
    </row>
    <row r="6" spans="1:4" ht="30" customHeight="1" x14ac:dyDescent="0.25">
      <c r="A6" s="46">
        <v>4</v>
      </c>
      <c r="B6" s="47" t="s">
        <v>438</v>
      </c>
      <c r="C6" s="46">
        <v>58</v>
      </c>
      <c r="D6" s="59">
        <v>4.8373644703919937E-2</v>
      </c>
    </row>
    <row r="7" spans="1:4" ht="30" customHeight="1" x14ac:dyDescent="0.25">
      <c r="A7" s="46">
        <v>5</v>
      </c>
      <c r="B7" s="47" t="s">
        <v>435</v>
      </c>
      <c r="C7" s="46">
        <v>8</v>
      </c>
      <c r="D7" s="59">
        <v>6.672226855713094E-3</v>
      </c>
    </row>
    <row r="8" spans="1:4" ht="30" customHeight="1" x14ac:dyDescent="0.25">
      <c r="A8" s="46">
        <v>6</v>
      </c>
      <c r="B8" s="47" t="s">
        <v>434</v>
      </c>
      <c r="C8" s="46">
        <v>0</v>
      </c>
      <c r="D8" s="59">
        <v>0</v>
      </c>
    </row>
    <row r="9" spans="1:4" ht="30" customHeight="1" x14ac:dyDescent="0.25">
      <c r="A9" s="46">
        <v>7</v>
      </c>
      <c r="B9" s="47" t="s">
        <v>458</v>
      </c>
      <c r="C9" s="46">
        <v>4</v>
      </c>
      <c r="D9" s="59">
        <v>3.336113427856547E-3</v>
      </c>
    </row>
    <row r="10" spans="1:4" ht="30" customHeight="1" x14ac:dyDescent="0.25">
      <c r="A10" s="46">
        <v>8</v>
      </c>
      <c r="B10" s="47" t="s">
        <v>447</v>
      </c>
      <c r="C10" s="46">
        <v>800</v>
      </c>
      <c r="D10" s="59">
        <v>0.66722268557130937</v>
      </c>
    </row>
    <row r="11" spans="1:4" ht="30" customHeight="1" x14ac:dyDescent="0.25">
      <c r="A11" s="46">
        <v>9</v>
      </c>
      <c r="B11" s="47" t="s">
        <v>448</v>
      </c>
      <c r="C11" s="46">
        <v>93</v>
      </c>
      <c r="D11" s="59">
        <v>7.7564637197664724E-2</v>
      </c>
    </row>
    <row r="12" spans="1:4" ht="30" customHeight="1" x14ac:dyDescent="0.25">
      <c r="A12" s="46">
        <v>10</v>
      </c>
      <c r="B12" s="47" t="s">
        <v>431</v>
      </c>
      <c r="C12" s="46">
        <v>0</v>
      </c>
      <c r="D12" s="59">
        <v>0</v>
      </c>
    </row>
    <row r="13" spans="1:4" ht="30" customHeight="1" x14ac:dyDescent="0.25">
      <c r="A13" s="46">
        <v>11</v>
      </c>
      <c r="B13" s="47" t="s">
        <v>437</v>
      </c>
      <c r="C13" s="46">
        <v>227</v>
      </c>
      <c r="D13" s="59">
        <v>0.18932443703085905</v>
      </c>
    </row>
    <row r="14" spans="1:4" ht="30" customHeight="1" x14ac:dyDescent="0.25"/>
    <row r="15" spans="1:4" ht="30" customHeight="1" x14ac:dyDescent="0.25">
      <c r="A15" s="129" t="s">
        <v>455</v>
      </c>
      <c r="B15" s="129"/>
      <c r="C15" s="129"/>
      <c r="D15" s="129"/>
    </row>
    <row r="16" spans="1:4" ht="30" customHeight="1" x14ac:dyDescent="0.25">
      <c r="A16" s="46" t="s">
        <v>442</v>
      </c>
      <c r="B16" s="47" t="s">
        <v>377</v>
      </c>
      <c r="C16" s="46" t="s">
        <v>443</v>
      </c>
      <c r="D16" s="59" t="s">
        <v>444</v>
      </c>
    </row>
    <row r="17" spans="1:4" ht="30" customHeight="1" x14ac:dyDescent="0.25">
      <c r="A17" s="46">
        <v>1</v>
      </c>
      <c r="B17" s="47" t="s">
        <v>445</v>
      </c>
      <c r="C17" s="46">
        <v>1199</v>
      </c>
      <c r="D17" s="59">
        <v>0.41005471956224349</v>
      </c>
    </row>
    <row r="18" spans="1:4" ht="30" customHeight="1" x14ac:dyDescent="0.25">
      <c r="A18" s="46">
        <v>2</v>
      </c>
      <c r="B18" s="47" t="s">
        <v>449</v>
      </c>
      <c r="C18" s="46">
        <v>1725</v>
      </c>
      <c r="D18" s="59">
        <v>0.58994528043775651</v>
      </c>
    </row>
    <row r="19" spans="1:4" ht="30" customHeight="1" x14ac:dyDescent="0.25">
      <c r="A19" s="46">
        <v>3</v>
      </c>
      <c r="B19" s="47" t="s">
        <v>446</v>
      </c>
      <c r="C19" s="46">
        <v>2924</v>
      </c>
      <c r="D19" s="59">
        <v>1</v>
      </c>
    </row>
    <row r="20" spans="1:4" ht="30" customHeight="1" x14ac:dyDescent="0.25"/>
    <row r="21" spans="1:4" ht="30" customHeight="1" x14ac:dyDescent="0.25">
      <c r="A21" s="130" t="s">
        <v>456</v>
      </c>
      <c r="B21" s="131"/>
      <c r="C21" s="131"/>
      <c r="D21" s="132"/>
    </row>
    <row r="22" spans="1:4" ht="30" customHeight="1" x14ac:dyDescent="0.25">
      <c r="A22" s="46" t="s">
        <v>442</v>
      </c>
      <c r="B22" s="47" t="s">
        <v>377</v>
      </c>
      <c r="C22" s="46" t="s">
        <v>443</v>
      </c>
      <c r="D22" s="59" t="s">
        <v>444</v>
      </c>
    </row>
    <row r="23" spans="1:4" ht="30" customHeight="1" x14ac:dyDescent="0.25">
      <c r="A23" s="46">
        <v>1</v>
      </c>
      <c r="B23" s="47" t="s">
        <v>418</v>
      </c>
      <c r="C23" s="46">
        <v>8</v>
      </c>
      <c r="D23" s="59">
        <v>6.672226855713094E-3</v>
      </c>
    </row>
    <row r="24" spans="1:4" ht="30" customHeight="1" x14ac:dyDescent="0.25">
      <c r="A24" s="46">
        <v>2</v>
      </c>
      <c r="B24" s="47" t="s">
        <v>450</v>
      </c>
      <c r="C24" s="46">
        <v>1</v>
      </c>
      <c r="D24" s="59">
        <v>8.3402835696413675E-4</v>
      </c>
    </row>
    <row r="25" spans="1:4" ht="30" customHeight="1" x14ac:dyDescent="0.25">
      <c r="A25" s="46">
        <v>3</v>
      </c>
      <c r="B25" s="47" t="s">
        <v>451</v>
      </c>
      <c r="C25" s="46">
        <v>159</v>
      </c>
      <c r="D25" s="59">
        <v>0.13261050875729774</v>
      </c>
    </row>
    <row r="26" spans="1:4" ht="30" customHeight="1" x14ac:dyDescent="0.25">
      <c r="A26" s="46">
        <v>4</v>
      </c>
      <c r="B26" s="47" t="s">
        <v>447</v>
      </c>
      <c r="C26" s="46">
        <v>800</v>
      </c>
      <c r="D26" s="59">
        <v>0.66722268557130937</v>
      </c>
    </row>
    <row r="27" spans="1:4" ht="30" customHeight="1" x14ac:dyDescent="0.25">
      <c r="A27" s="46">
        <v>5</v>
      </c>
      <c r="B27" s="47" t="s">
        <v>452</v>
      </c>
      <c r="C27" s="46">
        <v>227</v>
      </c>
      <c r="D27" s="59">
        <v>0.18932443703085905</v>
      </c>
    </row>
    <row r="28" spans="1:4" ht="30" customHeight="1" x14ac:dyDescent="0.25">
      <c r="A28" s="46">
        <v>6</v>
      </c>
      <c r="B28" s="47" t="s">
        <v>458</v>
      </c>
      <c r="C28" s="46">
        <v>4</v>
      </c>
      <c r="D28" s="59">
        <v>3.336113427856547E-3</v>
      </c>
    </row>
    <row r="29" spans="1:4" ht="30" customHeight="1" x14ac:dyDescent="0.25"/>
    <row r="30" spans="1:4" ht="30" customHeight="1" x14ac:dyDescent="0.25"/>
    <row r="31" spans="1:4" ht="30" customHeight="1" x14ac:dyDescent="0.25"/>
  </sheetData>
  <mergeCells count="3">
    <mergeCell ref="A1:D1"/>
    <mergeCell ref="A15:D15"/>
    <mergeCell ref="A21:D21"/>
  </mergeCell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AJ12"/>
  <sheetViews>
    <sheetView zoomScale="90" zoomScaleNormal="90" workbookViewId="0">
      <selection activeCell="G18" sqref="G18"/>
    </sheetView>
  </sheetViews>
  <sheetFormatPr defaultColWidth="9.140625" defaultRowHeight="15" x14ac:dyDescent="0.25"/>
  <cols>
    <col min="1" max="1" width="12.7109375" style="38" customWidth="1"/>
    <col min="2" max="2" width="41.28515625" style="37" customWidth="1"/>
    <col min="3" max="3" width="27.28515625" style="38" customWidth="1"/>
    <col min="4" max="4" width="28.7109375" style="42" customWidth="1"/>
    <col min="5" max="18" width="15.7109375" style="35" customWidth="1"/>
    <col min="19" max="24" width="9.140625" style="35"/>
    <col min="25" max="36" width="9.140625" style="36"/>
    <col min="37" max="16384" width="9.140625" style="37"/>
  </cols>
  <sheetData>
    <row r="1" spans="1:36" s="34" customFormat="1" ht="45" customHeight="1" x14ac:dyDescent="0.25">
      <c r="A1" s="29" t="s">
        <v>423</v>
      </c>
      <c r="B1" s="30" t="s">
        <v>439</v>
      </c>
      <c r="C1" s="29" t="s">
        <v>454</v>
      </c>
      <c r="D1" s="30" t="s">
        <v>453</v>
      </c>
      <c r="E1" s="31" t="s">
        <v>436</v>
      </c>
      <c r="F1" s="31" t="s">
        <v>424</v>
      </c>
      <c r="G1" s="31" t="s">
        <v>425</v>
      </c>
      <c r="H1" s="31" t="s">
        <v>426</v>
      </c>
      <c r="I1" s="31" t="s">
        <v>459</v>
      </c>
      <c r="J1" s="31" t="s">
        <v>427</v>
      </c>
      <c r="K1" s="31" t="s">
        <v>428</v>
      </c>
      <c r="L1" s="31" t="s">
        <v>441</v>
      </c>
      <c r="M1" s="31" t="s">
        <v>429</v>
      </c>
      <c r="N1" s="31" t="s">
        <v>430</v>
      </c>
      <c r="O1" s="32"/>
      <c r="P1" s="32"/>
      <c r="Q1" s="32"/>
      <c r="R1" s="32"/>
      <c r="S1" s="32"/>
      <c r="T1" s="32"/>
      <c r="U1" s="32"/>
      <c r="V1" s="32"/>
      <c r="W1" s="32"/>
      <c r="X1" s="32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s="42" customFormat="1" ht="30" customHeight="1" x14ac:dyDescent="0.25">
      <c r="A2" s="45">
        <v>11</v>
      </c>
      <c r="B2" s="40" t="s">
        <v>437</v>
      </c>
      <c r="C2" s="44">
        <v>5</v>
      </c>
      <c r="D2" s="51" t="s">
        <v>452</v>
      </c>
      <c r="E2" s="39" t="s">
        <v>432</v>
      </c>
      <c r="F2" s="39" t="s">
        <v>404</v>
      </c>
      <c r="G2" s="39" t="s">
        <v>404</v>
      </c>
      <c r="H2" s="39" t="s">
        <v>404</v>
      </c>
      <c r="I2" s="39" t="s">
        <v>404</v>
      </c>
      <c r="J2" s="39" t="s">
        <v>404</v>
      </c>
      <c r="K2" s="39" t="s">
        <v>404</v>
      </c>
      <c r="L2" s="39" t="s">
        <v>404</v>
      </c>
      <c r="M2" s="39" t="s">
        <v>404</v>
      </c>
      <c r="N2" s="39" t="s">
        <v>404</v>
      </c>
      <c r="O2" s="35"/>
      <c r="P2" s="35"/>
      <c r="Q2" s="35"/>
      <c r="R2" s="35"/>
      <c r="S2" s="35"/>
      <c r="T2" s="35"/>
      <c r="U2" s="35"/>
      <c r="V2" s="35"/>
      <c r="W2" s="35"/>
      <c r="X2" s="35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1:36" ht="30" customHeight="1" x14ac:dyDescent="0.25">
      <c r="A3" s="45">
        <v>10</v>
      </c>
      <c r="B3" s="43" t="s">
        <v>431</v>
      </c>
      <c r="C3" s="44">
        <v>5</v>
      </c>
      <c r="D3" s="51" t="s">
        <v>452</v>
      </c>
      <c r="E3" s="39" t="s">
        <v>433</v>
      </c>
      <c r="F3" s="39" t="s">
        <v>432</v>
      </c>
      <c r="G3" s="39" t="s">
        <v>404</v>
      </c>
      <c r="H3" s="39" t="s">
        <v>404</v>
      </c>
      <c r="I3" s="39" t="s">
        <v>404</v>
      </c>
      <c r="J3" s="39" t="s">
        <v>404</v>
      </c>
      <c r="K3" s="39" t="s">
        <v>404</v>
      </c>
      <c r="L3" s="39" t="s">
        <v>404</v>
      </c>
      <c r="M3" s="39" t="s">
        <v>404</v>
      </c>
      <c r="N3" s="39" t="s">
        <v>404</v>
      </c>
    </row>
    <row r="4" spans="1:36" ht="30" customHeight="1" x14ac:dyDescent="0.25">
      <c r="A4" s="45">
        <v>9</v>
      </c>
      <c r="B4" s="49" t="s">
        <v>448</v>
      </c>
      <c r="C4" s="44">
        <v>3</v>
      </c>
      <c r="D4" s="51" t="s">
        <v>451</v>
      </c>
      <c r="E4" s="39" t="s">
        <v>433</v>
      </c>
      <c r="F4" s="39" t="s">
        <v>433</v>
      </c>
      <c r="G4" s="39" t="s">
        <v>432</v>
      </c>
      <c r="H4" s="39" t="s">
        <v>404</v>
      </c>
      <c r="I4" s="39" t="s">
        <v>404</v>
      </c>
      <c r="J4" s="39" t="s">
        <v>404</v>
      </c>
      <c r="K4" s="39" t="s">
        <v>404</v>
      </c>
      <c r="L4" s="39" t="s">
        <v>404</v>
      </c>
      <c r="M4" s="39" t="s">
        <v>404</v>
      </c>
      <c r="N4" s="39" t="s">
        <v>404</v>
      </c>
    </row>
    <row r="5" spans="1:36" ht="30" customHeight="1" x14ac:dyDescent="0.25">
      <c r="A5" s="45">
        <v>8</v>
      </c>
      <c r="B5" s="49" t="s">
        <v>447</v>
      </c>
      <c r="C5" s="44">
        <v>4</v>
      </c>
      <c r="D5" s="52" t="s">
        <v>447</v>
      </c>
      <c r="E5" s="39" t="s">
        <v>433</v>
      </c>
      <c r="F5" s="39" t="s">
        <v>433</v>
      </c>
      <c r="G5" s="39" t="s">
        <v>433</v>
      </c>
      <c r="H5" s="39" t="s">
        <v>432</v>
      </c>
      <c r="I5" s="39" t="s">
        <v>404</v>
      </c>
      <c r="J5" s="39" t="s">
        <v>404</v>
      </c>
      <c r="K5" s="39" t="s">
        <v>404</v>
      </c>
      <c r="L5" s="39" t="s">
        <v>404</v>
      </c>
      <c r="M5" s="39" t="s">
        <v>404</v>
      </c>
      <c r="N5" s="39" t="s">
        <v>404</v>
      </c>
    </row>
    <row r="6" spans="1:36" ht="30" customHeight="1" x14ac:dyDescent="0.25">
      <c r="A6" s="45">
        <v>7</v>
      </c>
      <c r="B6" s="57" t="s">
        <v>458</v>
      </c>
      <c r="C6" s="44">
        <v>6</v>
      </c>
      <c r="D6" s="57" t="s">
        <v>458</v>
      </c>
      <c r="E6" s="39" t="s">
        <v>433</v>
      </c>
      <c r="F6" s="39" t="s">
        <v>433</v>
      </c>
      <c r="G6" s="39" t="s">
        <v>433</v>
      </c>
      <c r="H6" s="39" t="s">
        <v>433</v>
      </c>
      <c r="I6" s="58" t="s">
        <v>432</v>
      </c>
      <c r="J6" s="39" t="s">
        <v>404</v>
      </c>
      <c r="K6" s="39" t="s">
        <v>404</v>
      </c>
      <c r="L6" s="39" t="s">
        <v>404</v>
      </c>
      <c r="M6" s="39" t="s">
        <v>404</v>
      </c>
      <c r="N6" s="39" t="s">
        <v>404</v>
      </c>
    </row>
    <row r="7" spans="1:36" ht="30" customHeight="1" x14ac:dyDescent="0.25">
      <c r="A7" s="45">
        <v>6</v>
      </c>
      <c r="B7" s="43" t="s">
        <v>434</v>
      </c>
      <c r="C7" s="44">
        <v>3</v>
      </c>
      <c r="D7" s="51" t="s">
        <v>451</v>
      </c>
      <c r="E7" s="39" t="s">
        <v>433</v>
      </c>
      <c r="F7" s="39" t="s">
        <v>433</v>
      </c>
      <c r="G7" s="39" t="s">
        <v>433</v>
      </c>
      <c r="H7" s="39" t="s">
        <v>433</v>
      </c>
      <c r="I7" s="39" t="s">
        <v>433</v>
      </c>
      <c r="J7" s="39" t="s">
        <v>432</v>
      </c>
      <c r="K7" s="39" t="s">
        <v>404</v>
      </c>
      <c r="L7" s="39" t="s">
        <v>404</v>
      </c>
      <c r="M7" s="39" t="s">
        <v>404</v>
      </c>
      <c r="N7" s="39" t="s">
        <v>404</v>
      </c>
    </row>
    <row r="8" spans="1:36" ht="30" customHeight="1" x14ac:dyDescent="0.25">
      <c r="A8" s="45">
        <v>5</v>
      </c>
      <c r="B8" s="43" t="s">
        <v>435</v>
      </c>
      <c r="C8" s="44">
        <v>3</v>
      </c>
      <c r="D8" s="51" t="s">
        <v>451</v>
      </c>
      <c r="E8" s="39" t="s">
        <v>433</v>
      </c>
      <c r="F8" s="39" t="s">
        <v>433</v>
      </c>
      <c r="G8" s="39" t="s">
        <v>433</v>
      </c>
      <c r="H8" s="39" t="s">
        <v>433</v>
      </c>
      <c r="I8" s="39" t="s">
        <v>433</v>
      </c>
      <c r="J8" s="39" t="s">
        <v>433</v>
      </c>
      <c r="K8" s="39" t="s">
        <v>432</v>
      </c>
      <c r="L8" s="39" t="s">
        <v>404</v>
      </c>
      <c r="M8" s="39" t="s">
        <v>404</v>
      </c>
      <c r="N8" s="39" t="s">
        <v>404</v>
      </c>
    </row>
    <row r="9" spans="1:36" ht="30" customHeight="1" x14ac:dyDescent="0.25">
      <c r="A9" s="45">
        <v>4</v>
      </c>
      <c r="B9" s="43" t="s">
        <v>438</v>
      </c>
      <c r="C9" s="44">
        <v>3</v>
      </c>
      <c r="D9" s="51" t="s">
        <v>451</v>
      </c>
      <c r="E9" s="39" t="s">
        <v>433</v>
      </c>
      <c r="F9" s="39" t="s">
        <v>433</v>
      </c>
      <c r="G9" s="39" t="s">
        <v>433</v>
      </c>
      <c r="H9" s="39" t="s">
        <v>433</v>
      </c>
      <c r="I9" s="39" t="s">
        <v>433</v>
      </c>
      <c r="J9" s="39" t="s">
        <v>433</v>
      </c>
      <c r="K9" s="39" t="s">
        <v>433</v>
      </c>
      <c r="L9" s="39" t="s">
        <v>432</v>
      </c>
      <c r="M9" s="39" t="s">
        <v>404</v>
      </c>
      <c r="N9" s="39" t="s">
        <v>404</v>
      </c>
    </row>
    <row r="10" spans="1:36" ht="30" customHeight="1" x14ac:dyDescent="0.25">
      <c r="A10" s="45">
        <v>3</v>
      </c>
      <c r="B10" s="50" t="s">
        <v>450</v>
      </c>
      <c r="C10" s="44">
        <v>2</v>
      </c>
      <c r="D10" s="53" t="s">
        <v>450</v>
      </c>
      <c r="E10" s="39" t="s">
        <v>433</v>
      </c>
      <c r="F10" s="39" t="s">
        <v>433</v>
      </c>
      <c r="G10" s="39" t="s">
        <v>433</v>
      </c>
      <c r="H10" s="39" t="s">
        <v>433</v>
      </c>
      <c r="I10" s="39" t="s">
        <v>433</v>
      </c>
      <c r="J10" s="39" t="s">
        <v>433</v>
      </c>
      <c r="K10" s="39" t="s">
        <v>433</v>
      </c>
      <c r="L10" s="39" t="s">
        <v>433</v>
      </c>
      <c r="M10" s="39" t="s">
        <v>432</v>
      </c>
      <c r="N10" s="39" t="s">
        <v>404</v>
      </c>
    </row>
    <row r="11" spans="1:36" ht="30" customHeight="1" x14ac:dyDescent="0.25">
      <c r="A11" s="45">
        <v>2</v>
      </c>
      <c r="B11" s="43" t="s">
        <v>440</v>
      </c>
      <c r="C11" s="44">
        <v>3</v>
      </c>
      <c r="D11" s="51" t="s">
        <v>451</v>
      </c>
      <c r="E11" s="39" t="s">
        <v>433</v>
      </c>
      <c r="F11" s="39" t="s">
        <v>433</v>
      </c>
      <c r="G11" s="39" t="s">
        <v>433</v>
      </c>
      <c r="H11" s="39" t="s">
        <v>433</v>
      </c>
      <c r="I11" s="39" t="s">
        <v>433</v>
      </c>
      <c r="J11" s="39" t="s">
        <v>433</v>
      </c>
      <c r="K11" s="39" t="s">
        <v>433</v>
      </c>
      <c r="L11" s="39" t="s">
        <v>433</v>
      </c>
      <c r="M11" s="39" t="s">
        <v>433</v>
      </c>
      <c r="N11" s="39" t="s">
        <v>432</v>
      </c>
    </row>
    <row r="12" spans="1:36" ht="30" customHeight="1" x14ac:dyDescent="0.25">
      <c r="A12" s="45">
        <v>1</v>
      </c>
      <c r="B12" s="43" t="s">
        <v>418</v>
      </c>
      <c r="C12" s="44">
        <v>1</v>
      </c>
      <c r="D12" s="40" t="s">
        <v>418</v>
      </c>
      <c r="E12" s="39" t="s">
        <v>433</v>
      </c>
      <c r="F12" s="39" t="s">
        <v>433</v>
      </c>
      <c r="G12" s="39" t="s">
        <v>433</v>
      </c>
      <c r="H12" s="39" t="s">
        <v>433</v>
      </c>
      <c r="I12" s="39" t="s">
        <v>433</v>
      </c>
      <c r="J12" s="39" t="s">
        <v>433</v>
      </c>
      <c r="K12" s="39" t="s">
        <v>433</v>
      </c>
      <c r="L12" s="39" t="s">
        <v>433</v>
      </c>
      <c r="M12" s="39" t="s">
        <v>433</v>
      </c>
      <c r="N12" s="39" t="s">
        <v>433</v>
      </c>
    </row>
  </sheetData>
  <conditionalFormatting sqref="A2:A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8CE6-9861-405C-93B6-25EC7FDDF1A0}">
  <sheetPr codeName="Лист5"/>
  <dimension ref="A1:B9"/>
  <sheetViews>
    <sheetView workbookViewId="0">
      <selection activeCell="F24" sqref="F24"/>
    </sheetView>
  </sheetViews>
  <sheetFormatPr defaultRowHeight="15" x14ac:dyDescent="0.25"/>
  <cols>
    <col min="1" max="1" width="24.85546875" customWidth="1"/>
  </cols>
  <sheetData>
    <row r="1" spans="1:2" x14ac:dyDescent="0.25">
      <c r="A1" t="s">
        <v>473</v>
      </c>
      <c r="B1" s="73" t="str">
        <f>B9&amp;"TechDocData\"</f>
        <v>E:\Test Folder\Projects\TreeView\TestData\TechDocData\</v>
      </c>
    </row>
    <row r="2" spans="1:2" x14ac:dyDescent="0.25">
      <c r="A2" t="s">
        <v>470</v>
      </c>
      <c r="B2" t="s">
        <v>478</v>
      </c>
    </row>
    <row r="3" spans="1:2" x14ac:dyDescent="0.25">
      <c r="A3" t="s">
        <v>471</v>
      </c>
      <c r="B3" s="73" t="str">
        <f>B9&amp;"ExcelTestTrees\"</f>
        <v>E:\Test Folder\Projects\TreeView\TestData\ExcelTestTrees\</v>
      </c>
    </row>
    <row r="4" spans="1:2" x14ac:dyDescent="0.25">
      <c r="A4" t="s">
        <v>357</v>
      </c>
      <c r="B4" s="73" t="str">
        <f>B9&amp;"KDpdf\"</f>
        <v>E:\Test Folder\Projects\TreeView\TestData\KDpdf\</v>
      </c>
    </row>
    <row r="5" spans="1:2" x14ac:dyDescent="0.25">
      <c r="A5" t="s">
        <v>472</v>
      </c>
      <c r="B5" s="73" t="str">
        <f>B9&amp;"TDpdf\"</f>
        <v>E:\Test Folder\Projects\TreeView\TestData\TDpdf\</v>
      </c>
    </row>
    <row r="6" spans="1:2" x14ac:dyDescent="0.25">
      <c r="A6" t="s">
        <v>475</v>
      </c>
      <c r="B6" s="73" t="str">
        <f>B9&amp;"PLM\"</f>
        <v>E:\Test Folder\Projects\TreeView\TestData\PLM\</v>
      </c>
    </row>
    <row r="7" spans="1:2" x14ac:dyDescent="0.25">
      <c r="A7" t="s">
        <v>474</v>
      </c>
      <c r="B7" t="s">
        <v>479</v>
      </c>
    </row>
    <row r="9" spans="1:2" x14ac:dyDescent="0.25">
      <c r="A9" t="s">
        <v>476</v>
      </c>
      <c r="B9" t="s">
        <v>477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NN11"/>
  <sheetViews>
    <sheetView topLeftCell="MT1" zoomScale="90" zoomScaleNormal="90" workbookViewId="0">
      <selection activeCell="NJ22" sqref="NJ22"/>
    </sheetView>
  </sheetViews>
  <sheetFormatPr defaultRowHeight="15" outlineLevelRow="1" x14ac:dyDescent="0.25"/>
  <cols>
    <col min="1" max="1" width="7.85546875" customWidth="1"/>
    <col min="2" max="4" width="9.140625" customWidth="1"/>
    <col min="5" max="5" width="41.28515625" customWidth="1"/>
    <col min="6" max="10" width="9.140625" customWidth="1"/>
    <col min="11" max="11" width="19.140625" customWidth="1"/>
    <col min="12" max="286" width="9.140625" customWidth="1"/>
    <col min="287" max="287" width="15.85546875" customWidth="1"/>
    <col min="288" max="288" width="8" customWidth="1"/>
    <col min="289" max="289" width="6.7109375" customWidth="1"/>
    <col min="290" max="291" width="9.140625" customWidth="1"/>
    <col min="292" max="293" width="15.7109375" customWidth="1"/>
    <col min="294" max="294" width="7.5703125" customWidth="1"/>
    <col min="295" max="296" width="15.7109375" customWidth="1"/>
    <col min="297" max="297" width="30.7109375" customWidth="1"/>
    <col min="298" max="345" width="9.140625" customWidth="1"/>
    <col min="346" max="346" width="20.7109375" customWidth="1"/>
    <col min="347" max="361" width="9.140625" customWidth="1"/>
    <col min="362" max="362" width="30.28515625" customWidth="1"/>
    <col min="363" max="363" width="17" customWidth="1"/>
    <col min="364" max="365" width="15.7109375" customWidth="1"/>
    <col min="366" max="366" width="40.7109375" customWidth="1"/>
    <col min="367" max="367" width="9.140625" customWidth="1"/>
    <col min="368" max="368" width="10" customWidth="1"/>
    <col min="369" max="373" width="9.140625" customWidth="1"/>
    <col min="374" max="374" width="42.7109375" customWidth="1"/>
    <col min="375" max="375" width="18.28515625" customWidth="1"/>
    <col min="376" max="376" width="9.140625" hidden="1" customWidth="1"/>
    <col min="377" max="377" width="36.140625" customWidth="1"/>
    <col min="378" max="378" width="23.140625" customWidth="1"/>
  </cols>
  <sheetData>
    <row r="1" spans="1:378" s="5" customFormat="1" ht="35.1" customHeight="1" collapsed="1" x14ac:dyDescent="0.25">
      <c r="A1" s="135" t="s">
        <v>2</v>
      </c>
      <c r="B1" s="138" t="s">
        <v>259</v>
      </c>
      <c r="C1" s="25"/>
      <c r="D1" s="25"/>
      <c r="E1" s="1"/>
      <c r="F1" s="139" t="s">
        <v>18</v>
      </c>
      <c r="G1" s="139" t="s">
        <v>17</v>
      </c>
      <c r="H1" s="139" t="s">
        <v>16</v>
      </c>
      <c r="I1" s="26"/>
      <c r="J1" s="26"/>
      <c r="K1" s="12"/>
      <c r="L1" s="135" t="s">
        <v>260</v>
      </c>
      <c r="M1" s="135" t="s">
        <v>346</v>
      </c>
      <c r="N1" s="83" t="s">
        <v>348</v>
      </c>
      <c r="O1" s="83" t="s">
        <v>349</v>
      </c>
      <c r="P1" s="83" t="s">
        <v>350</v>
      </c>
      <c r="Q1" s="83" t="s">
        <v>351</v>
      </c>
      <c r="R1" s="135" t="s">
        <v>347</v>
      </c>
      <c r="S1" s="92" t="s">
        <v>348</v>
      </c>
      <c r="T1" s="92" t="s">
        <v>349</v>
      </c>
      <c r="U1" s="92" t="s">
        <v>350</v>
      </c>
      <c r="V1" s="83" t="s">
        <v>351</v>
      </c>
      <c r="W1" s="83" t="s">
        <v>353</v>
      </c>
      <c r="X1" s="92" t="s">
        <v>352</v>
      </c>
      <c r="Y1" s="10"/>
      <c r="Z1" s="10"/>
      <c r="AA1" s="10"/>
      <c r="AB1" s="10"/>
      <c r="AC1" s="135" t="s">
        <v>22</v>
      </c>
      <c r="AD1" s="137" t="s">
        <v>357</v>
      </c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 t="s">
        <v>35</v>
      </c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5" t="s">
        <v>19</v>
      </c>
      <c r="IR1" s="83" t="s">
        <v>30</v>
      </c>
      <c r="IS1" s="83" t="s">
        <v>358</v>
      </c>
      <c r="IT1" s="92" t="s">
        <v>11</v>
      </c>
      <c r="IU1" s="83" t="s">
        <v>31</v>
      </c>
      <c r="IV1" s="135" t="s">
        <v>359</v>
      </c>
      <c r="IW1" s="135" t="s">
        <v>360</v>
      </c>
      <c r="IX1" s="135" t="s">
        <v>20</v>
      </c>
      <c r="IY1" s="83" t="s">
        <v>258</v>
      </c>
      <c r="IZ1" s="83" t="s">
        <v>27</v>
      </c>
      <c r="JA1" s="83" t="s">
        <v>28</v>
      </c>
      <c r="JB1" s="22"/>
      <c r="JC1" s="22"/>
      <c r="JD1" s="22"/>
      <c r="JE1" s="97" t="s">
        <v>24</v>
      </c>
      <c r="JF1" s="97" t="s">
        <v>26</v>
      </c>
      <c r="JG1" s="83" t="s">
        <v>23</v>
      </c>
      <c r="JH1" s="92" t="s">
        <v>25</v>
      </c>
      <c r="JI1" s="22"/>
      <c r="JJ1" s="22"/>
      <c r="JK1" s="22"/>
      <c r="JL1" s="135" t="s">
        <v>29</v>
      </c>
      <c r="JM1" s="83" t="s">
        <v>407</v>
      </c>
      <c r="JN1" s="92" t="s">
        <v>364</v>
      </c>
      <c r="JO1" s="83" t="s">
        <v>416</v>
      </c>
      <c r="JP1" s="83" t="s">
        <v>417</v>
      </c>
      <c r="JQ1" s="22"/>
      <c r="JR1" s="135" t="s">
        <v>34</v>
      </c>
      <c r="JS1" s="83" t="s">
        <v>21</v>
      </c>
      <c r="JT1" s="83" t="s">
        <v>33</v>
      </c>
      <c r="JU1" s="83" t="s">
        <v>345</v>
      </c>
      <c r="JV1" s="83"/>
      <c r="JW1" s="83" t="s">
        <v>354</v>
      </c>
      <c r="JX1" s="22"/>
      <c r="JY1" s="83"/>
      <c r="JZ1" s="136" t="s">
        <v>412</v>
      </c>
      <c r="KA1" s="12"/>
      <c r="KB1" s="133" t="s">
        <v>32</v>
      </c>
      <c r="KC1" s="135" t="s">
        <v>361</v>
      </c>
      <c r="KD1" s="135" t="s">
        <v>362</v>
      </c>
      <c r="KE1" s="83" t="s">
        <v>363</v>
      </c>
      <c r="KF1" s="97" t="s">
        <v>257</v>
      </c>
      <c r="KG1" s="97" t="s">
        <v>415</v>
      </c>
      <c r="KH1" s="135" t="s">
        <v>13</v>
      </c>
      <c r="KI1" s="83" t="s">
        <v>13</v>
      </c>
      <c r="KJ1" s="83"/>
      <c r="KK1" s="83"/>
      <c r="KL1" s="83"/>
      <c r="KM1" s="83"/>
      <c r="KN1" s="83"/>
      <c r="KO1" s="83"/>
      <c r="KP1" s="83"/>
      <c r="KQ1" s="83"/>
      <c r="KR1" s="83"/>
      <c r="KS1" s="83"/>
      <c r="KT1" s="83"/>
      <c r="KU1" s="83"/>
      <c r="KV1" s="83"/>
      <c r="KW1" s="83"/>
      <c r="KX1" s="83"/>
      <c r="KY1" s="83"/>
      <c r="KZ1" s="83"/>
      <c r="LA1" s="83"/>
      <c r="LB1" s="83"/>
      <c r="LC1" s="83"/>
      <c r="LD1" s="83"/>
      <c r="LE1" s="83"/>
      <c r="LF1" s="83"/>
      <c r="LG1" s="83"/>
      <c r="LH1" s="83"/>
      <c r="LI1" s="83"/>
      <c r="LJ1" s="83"/>
      <c r="LK1" s="83"/>
      <c r="LL1" s="83"/>
      <c r="LM1" s="83"/>
      <c r="LN1" s="83"/>
      <c r="LO1" s="83"/>
      <c r="LP1" s="83"/>
      <c r="LQ1" s="83"/>
      <c r="LR1" s="83"/>
      <c r="LS1" s="83"/>
      <c r="LT1" s="83"/>
      <c r="LU1" s="83"/>
      <c r="LV1" s="83"/>
      <c r="LW1" s="83"/>
      <c r="LX1" s="83"/>
      <c r="LY1" s="83"/>
      <c r="LZ1" s="83"/>
      <c r="MA1" s="83"/>
      <c r="MB1" s="83"/>
      <c r="MC1" s="83"/>
      <c r="MD1" s="83"/>
      <c r="ME1" s="83"/>
      <c r="MF1" s="83"/>
      <c r="MG1" s="83"/>
      <c r="MH1" s="136" t="s">
        <v>413</v>
      </c>
      <c r="MI1" s="83" t="s">
        <v>12</v>
      </c>
      <c r="MJ1" s="83"/>
      <c r="MK1" s="83"/>
      <c r="ML1" s="83"/>
      <c r="MM1" s="83"/>
      <c r="MN1" s="83"/>
      <c r="MO1" s="83"/>
      <c r="MP1" s="83"/>
      <c r="MQ1" s="83"/>
      <c r="MR1" s="83"/>
      <c r="MS1" s="83" t="s">
        <v>389</v>
      </c>
      <c r="MT1" s="92" t="s">
        <v>408</v>
      </c>
      <c r="MU1" s="83" t="s">
        <v>409</v>
      </c>
      <c r="MV1" s="83" t="s">
        <v>410</v>
      </c>
      <c r="MW1" s="97" t="s">
        <v>411</v>
      </c>
      <c r="MX1" s="136" t="s">
        <v>414</v>
      </c>
      <c r="MY1" s="100" t="s">
        <v>405</v>
      </c>
      <c r="MZ1" s="100" t="s">
        <v>406</v>
      </c>
      <c r="NA1" s="4"/>
      <c r="NB1" s="97" t="s">
        <v>379</v>
      </c>
      <c r="NC1" s="83" t="s">
        <v>380</v>
      </c>
      <c r="ND1" s="103" t="s">
        <v>378</v>
      </c>
      <c r="NE1" s="103"/>
      <c r="NF1" s="97"/>
      <c r="NG1" s="92"/>
      <c r="NH1" s="133"/>
      <c r="NI1" s="133"/>
      <c r="NJ1" s="134" t="s">
        <v>377</v>
      </c>
      <c r="NK1" s="83" t="s">
        <v>9</v>
      </c>
      <c r="NL1" s="22" t="s">
        <v>355</v>
      </c>
      <c r="NM1" s="84"/>
      <c r="NN1" s="83"/>
    </row>
    <row r="2" spans="1:378" s="5" customFormat="1" ht="15" customHeight="1" outlineLevel="1" x14ac:dyDescent="0.25">
      <c r="A2" s="135"/>
      <c r="B2" s="138"/>
      <c r="C2" s="25"/>
      <c r="D2" s="25"/>
      <c r="E2" s="83" t="s">
        <v>0</v>
      </c>
      <c r="F2" s="139"/>
      <c r="G2" s="139"/>
      <c r="H2" s="139"/>
      <c r="I2" s="26"/>
      <c r="J2" s="26"/>
      <c r="K2" s="83" t="s">
        <v>3</v>
      </c>
      <c r="L2" s="135"/>
      <c r="M2" s="135"/>
      <c r="N2" s="83"/>
      <c r="O2" s="83"/>
      <c r="P2" s="83"/>
      <c r="Q2" s="83"/>
      <c r="R2" s="135"/>
      <c r="S2" s="92"/>
      <c r="T2" s="92"/>
      <c r="U2" s="92"/>
      <c r="V2" s="83"/>
      <c r="W2" s="83"/>
      <c r="X2" s="92"/>
      <c r="Y2" s="10"/>
      <c r="Z2" s="10"/>
      <c r="AA2" s="10"/>
      <c r="AB2" s="10"/>
      <c r="AC2" s="135"/>
      <c r="AD2" s="135"/>
      <c r="AE2" s="82" t="s">
        <v>36</v>
      </c>
      <c r="AF2" s="100" t="s">
        <v>37</v>
      </c>
      <c r="AG2" s="100"/>
      <c r="AH2" s="100"/>
      <c r="AI2" s="100"/>
      <c r="AJ2" s="100"/>
      <c r="AK2" s="100"/>
      <c r="AL2" s="100"/>
      <c r="AM2" s="100" t="s">
        <v>38</v>
      </c>
      <c r="AN2" s="100"/>
      <c r="AO2" s="100"/>
      <c r="AP2" s="100"/>
      <c r="AQ2" s="100"/>
      <c r="AR2" s="100"/>
      <c r="AS2" s="100"/>
      <c r="AT2" s="100"/>
      <c r="AU2" s="100"/>
      <c r="AV2" s="82" t="s">
        <v>39</v>
      </c>
      <c r="AW2" s="82" t="s">
        <v>40</v>
      </c>
      <c r="AX2" s="82" t="s">
        <v>41</v>
      </c>
      <c r="AY2" s="82" t="s">
        <v>42</v>
      </c>
      <c r="AZ2" s="82"/>
      <c r="BA2" s="82"/>
      <c r="BB2" s="82" t="s">
        <v>43</v>
      </c>
      <c r="BC2" s="82" t="s">
        <v>44</v>
      </c>
      <c r="BD2" s="82"/>
      <c r="BE2" s="82"/>
      <c r="BF2" s="82"/>
      <c r="BG2" s="82"/>
      <c r="BH2" s="82"/>
      <c r="BI2" s="82"/>
      <c r="BJ2" s="82"/>
      <c r="BK2" s="82" t="s">
        <v>45</v>
      </c>
      <c r="BL2" s="82"/>
      <c r="BM2" s="82"/>
      <c r="BN2" s="82"/>
      <c r="BO2" s="82"/>
      <c r="BP2" s="82"/>
      <c r="BQ2" s="82"/>
      <c r="BR2" s="82"/>
      <c r="BS2" s="100" t="s">
        <v>261</v>
      </c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0"/>
      <c r="EQ2" s="100"/>
      <c r="ER2" s="100"/>
      <c r="ES2" s="100"/>
      <c r="ET2" s="100"/>
      <c r="EU2" s="82"/>
      <c r="EV2" s="82"/>
      <c r="EW2" s="82"/>
      <c r="EX2" s="82" t="s">
        <v>71</v>
      </c>
      <c r="EY2" s="82"/>
      <c r="EZ2" s="82"/>
      <c r="FA2" s="82"/>
      <c r="FB2" s="82"/>
      <c r="FC2" s="82"/>
      <c r="FD2" s="82"/>
      <c r="FE2" s="82"/>
      <c r="FF2" s="82"/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82"/>
      <c r="FS2" s="82"/>
      <c r="FT2" s="82"/>
      <c r="FU2" s="82"/>
      <c r="FV2" s="82"/>
      <c r="FW2" s="82"/>
      <c r="FX2" s="82"/>
      <c r="FY2" s="82"/>
      <c r="FZ2" s="82"/>
      <c r="GA2" s="82"/>
      <c r="GB2" s="82"/>
      <c r="GC2" s="82"/>
      <c r="GD2" s="82"/>
      <c r="GE2" s="82"/>
      <c r="GF2" s="82"/>
      <c r="GG2" s="82"/>
      <c r="GH2" s="82"/>
      <c r="GI2" s="82"/>
      <c r="GJ2" s="82"/>
      <c r="GK2" s="82"/>
      <c r="GL2" s="82"/>
      <c r="GM2" s="82"/>
      <c r="GN2" s="82"/>
      <c r="GO2" s="82"/>
      <c r="GP2" s="82"/>
      <c r="GQ2" s="82"/>
      <c r="GR2" s="82"/>
      <c r="GS2" s="82"/>
      <c r="GT2" s="82"/>
      <c r="GU2" s="82"/>
      <c r="GV2" s="82"/>
      <c r="GW2" s="82"/>
      <c r="GX2" s="82"/>
      <c r="GY2" s="82"/>
      <c r="GZ2" s="82"/>
      <c r="HA2" s="82"/>
      <c r="HB2" s="82"/>
      <c r="HC2" s="82"/>
      <c r="HD2" s="82"/>
      <c r="HE2" s="82"/>
      <c r="HF2" s="82"/>
      <c r="HG2" s="82"/>
      <c r="HH2" s="82"/>
      <c r="HI2" s="82"/>
      <c r="HJ2" s="82"/>
      <c r="HK2" s="82"/>
      <c r="HL2" s="82"/>
      <c r="HM2" s="82"/>
      <c r="HN2" s="82"/>
      <c r="HO2" s="82"/>
      <c r="HP2" s="82"/>
      <c r="HQ2" s="82"/>
      <c r="HR2" s="82"/>
      <c r="HS2" s="82"/>
      <c r="HT2" s="82"/>
      <c r="HU2" s="82"/>
      <c r="HV2" s="82"/>
      <c r="HW2" s="82"/>
      <c r="HX2" s="82"/>
      <c r="HY2" s="82"/>
      <c r="HZ2" s="82"/>
      <c r="IA2" s="82"/>
      <c r="IB2" s="82"/>
      <c r="IC2" s="82" t="s">
        <v>46</v>
      </c>
      <c r="ID2" s="82" t="s">
        <v>344</v>
      </c>
      <c r="IE2" s="82" t="s">
        <v>47</v>
      </c>
      <c r="IF2" s="82" t="s">
        <v>48</v>
      </c>
      <c r="IG2" s="82" t="s">
        <v>49</v>
      </c>
      <c r="IH2" s="82" t="s">
        <v>50</v>
      </c>
      <c r="II2" s="82" t="s">
        <v>51</v>
      </c>
      <c r="IJ2" s="82" t="s">
        <v>52</v>
      </c>
      <c r="IK2" s="82" t="s">
        <v>53</v>
      </c>
      <c r="IL2" s="82" t="s">
        <v>54</v>
      </c>
      <c r="IM2" s="82" t="s">
        <v>343</v>
      </c>
      <c r="IN2" s="82" t="s">
        <v>342</v>
      </c>
      <c r="IO2" s="21"/>
      <c r="IP2" s="21"/>
      <c r="IQ2" s="135"/>
      <c r="IR2" s="83"/>
      <c r="IS2" s="83"/>
      <c r="IT2" s="92"/>
      <c r="IU2" s="83"/>
      <c r="IV2" s="135"/>
      <c r="IW2" s="135"/>
      <c r="IX2" s="135"/>
      <c r="IY2" s="83"/>
      <c r="IZ2" s="83"/>
      <c r="JA2" s="83"/>
      <c r="JB2" s="22"/>
      <c r="JC2" s="22"/>
      <c r="JD2" s="22"/>
      <c r="JE2" s="97"/>
      <c r="JF2" s="97"/>
      <c r="JG2" s="83"/>
      <c r="JH2" s="92"/>
      <c r="JI2" s="22"/>
      <c r="JJ2" s="22"/>
      <c r="JK2" s="22"/>
      <c r="JL2" s="135"/>
      <c r="JM2" s="83"/>
      <c r="JN2" s="92"/>
      <c r="JO2" s="83"/>
      <c r="JP2" s="83"/>
      <c r="JQ2" s="22"/>
      <c r="JR2" s="135"/>
      <c r="JS2" s="83"/>
      <c r="JT2" s="83"/>
      <c r="JU2" s="83"/>
      <c r="JV2" s="83"/>
      <c r="JW2" s="83"/>
      <c r="JX2" s="22"/>
      <c r="JY2" s="83"/>
      <c r="JZ2" s="136"/>
      <c r="KA2" s="83" t="s">
        <v>10</v>
      </c>
      <c r="KB2" s="133"/>
      <c r="KC2" s="135"/>
      <c r="KD2" s="135"/>
      <c r="KE2" s="83"/>
      <c r="KF2" s="97"/>
      <c r="KG2" s="97"/>
      <c r="KH2" s="135"/>
      <c r="KI2" s="83" t="s">
        <v>382</v>
      </c>
      <c r="KJ2" s="83" t="s">
        <v>383</v>
      </c>
      <c r="KK2" s="83" t="s">
        <v>14</v>
      </c>
      <c r="KL2" s="83" t="s">
        <v>375</v>
      </c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22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36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3"/>
      <c r="MT2" s="92"/>
      <c r="MU2" s="83"/>
      <c r="MV2" s="83"/>
      <c r="MW2" s="97"/>
      <c r="MX2" s="136"/>
      <c r="MY2" s="100"/>
      <c r="MZ2" s="100"/>
      <c r="NA2" s="100" t="s">
        <v>381</v>
      </c>
      <c r="NB2" s="97"/>
      <c r="NC2" s="83"/>
      <c r="ND2" s="103"/>
      <c r="NE2" s="103"/>
      <c r="NF2" s="97"/>
      <c r="NG2" s="92"/>
      <c r="NH2" s="133"/>
      <c r="NI2" s="133"/>
      <c r="NJ2" s="83"/>
      <c r="NK2" s="83"/>
      <c r="NL2" s="22" t="b">
        <v>0</v>
      </c>
      <c r="NM2" s="85"/>
      <c r="NN2" s="83"/>
    </row>
    <row r="3" spans="1:378" s="5" customFormat="1" ht="75" customHeight="1" outlineLevel="1" x14ac:dyDescent="0.25">
      <c r="A3" s="135"/>
      <c r="B3" s="138"/>
      <c r="C3" s="25"/>
      <c r="D3" s="25"/>
      <c r="E3" s="83"/>
      <c r="F3" s="139"/>
      <c r="G3" s="139"/>
      <c r="H3" s="139"/>
      <c r="I3" s="26"/>
      <c r="J3" s="26"/>
      <c r="K3" s="83"/>
      <c r="L3" s="135"/>
      <c r="M3" s="135"/>
      <c r="N3" s="83"/>
      <c r="O3" s="83"/>
      <c r="P3" s="83"/>
      <c r="Q3" s="83"/>
      <c r="R3" s="135"/>
      <c r="S3" s="92"/>
      <c r="T3" s="92"/>
      <c r="U3" s="92"/>
      <c r="V3" s="83"/>
      <c r="W3" s="83"/>
      <c r="X3" s="92"/>
      <c r="Y3" s="10"/>
      <c r="Z3" s="10"/>
      <c r="AA3" s="10"/>
      <c r="AB3" s="10"/>
      <c r="AC3" s="135"/>
      <c r="AD3" s="135"/>
      <c r="AE3" s="82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82"/>
      <c r="EV3" s="82"/>
      <c r="EW3" s="82"/>
      <c r="EX3" s="82"/>
      <c r="EY3" s="82"/>
      <c r="EZ3" s="82"/>
      <c r="FA3" s="82"/>
      <c r="FB3" s="82"/>
      <c r="FC3" s="82"/>
      <c r="FD3" s="82"/>
      <c r="FE3" s="82"/>
      <c r="FF3" s="82"/>
      <c r="FG3" s="82"/>
      <c r="FH3" s="82"/>
      <c r="FI3" s="82"/>
      <c r="FJ3" s="82"/>
      <c r="FK3" s="82"/>
      <c r="FL3" s="82"/>
      <c r="FM3" s="82"/>
      <c r="FN3" s="82"/>
      <c r="FO3" s="82"/>
      <c r="FP3" s="82"/>
      <c r="FQ3" s="82"/>
      <c r="FR3" s="82"/>
      <c r="FS3" s="82"/>
      <c r="FT3" s="82"/>
      <c r="FU3" s="82"/>
      <c r="FV3" s="82"/>
      <c r="FW3" s="82"/>
      <c r="FX3" s="82"/>
      <c r="FY3" s="82"/>
      <c r="FZ3" s="82"/>
      <c r="GA3" s="82"/>
      <c r="GB3" s="82"/>
      <c r="GC3" s="82"/>
      <c r="GD3" s="82"/>
      <c r="GE3" s="82"/>
      <c r="GF3" s="82"/>
      <c r="GG3" s="82"/>
      <c r="GH3" s="82"/>
      <c r="GI3" s="82"/>
      <c r="GJ3" s="82"/>
      <c r="GK3" s="82"/>
      <c r="GL3" s="82"/>
      <c r="GM3" s="82"/>
      <c r="GN3" s="82"/>
      <c r="GO3" s="82"/>
      <c r="GP3" s="82"/>
      <c r="GQ3" s="82"/>
      <c r="GR3" s="82"/>
      <c r="GS3" s="82"/>
      <c r="GT3" s="82"/>
      <c r="GU3" s="82"/>
      <c r="GV3" s="82"/>
      <c r="GW3" s="82"/>
      <c r="GX3" s="82"/>
      <c r="GY3" s="82"/>
      <c r="GZ3" s="82"/>
      <c r="HA3" s="82"/>
      <c r="HB3" s="82"/>
      <c r="HC3" s="82"/>
      <c r="HD3" s="82"/>
      <c r="HE3" s="82"/>
      <c r="HF3" s="82"/>
      <c r="HG3" s="82"/>
      <c r="HH3" s="82"/>
      <c r="HI3" s="82"/>
      <c r="HJ3" s="82"/>
      <c r="HK3" s="82"/>
      <c r="HL3" s="82"/>
      <c r="HM3" s="82"/>
      <c r="HN3" s="82"/>
      <c r="HO3" s="82"/>
      <c r="HP3" s="82"/>
      <c r="HQ3" s="82"/>
      <c r="HR3" s="82"/>
      <c r="HS3" s="82"/>
      <c r="HT3" s="82"/>
      <c r="HU3" s="82"/>
      <c r="HV3" s="82"/>
      <c r="HW3" s="82"/>
      <c r="HX3" s="82"/>
      <c r="HY3" s="82"/>
      <c r="HZ3" s="82"/>
      <c r="IA3" s="82"/>
      <c r="IB3" s="82"/>
      <c r="IC3" s="82"/>
      <c r="ID3" s="82"/>
      <c r="IE3" s="82"/>
      <c r="IF3" s="82"/>
      <c r="IG3" s="82"/>
      <c r="IH3" s="82"/>
      <c r="II3" s="82"/>
      <c r="IJ3" s="82"/>
      <c r="IK3" s="82"/>
      <c r="IL3" s="82"/>
      <c r="IM3" s="82"/>
      <c r="IN3" s="82"/>
      <c r="IO3" s="21"/>
      <c r="IP3" s="21"/>
      <c r="IQ3" s="135"/>
      <c r="IR3" s="83"/>
      <c r="IS3" s="83"/>
      <c r="IT3" s="92"/>
      <c r="IU3" s="83"/>
      <c r="IV3" s="135"/>
      <c r="IW3" s="135"/>
      <c r="IX3" s="135"/>
      <c r="IY3" s="83"/>
      <c r="IZ3" s="83"/>
      <c r="JA3" s="83"/>
      <c r="JB3" s="22"/>
      <c r="JC3" s="22"/>
      <c r="JD3" s="22"/>
      <c r="JE3" s="97"/>
      <c r="JF3" s="97"/>
      <c r="JG3" s="83"/>
      <c r="JH3" s="92"/>
      <c r="JI3" s="22"/>
      <c r="JJ3" s="22"/>
      <c r="JK3" s="22"/>
      <c r="JL3" s="135"/>
      <c r="JM3" s="83"/>
      <c r="JN3" s="92"/>
      <c r="JO3" s="83"/>
      <c r="JP3" s="83"/>
      <c r="JQ3" s="22"/>
      <c r="JR3" s="135"/>
      <c r="JS3" s="83"/>
      <c r="JT3" s="83"/>
      <c r="JU3" s="83"/>
      <c r="JV3" s="83"/>
      <c r="JW3" s="83"/>
      <c r="JX3" s="22"/>
      <c r="JY3" s="83"/>
      <c r="JZ3" s="136"/>
      <c r="KA3" s="83"/>
      <c r="KB3" s="133"/>
      <c r="KC3" s="135"/>
      <c r="KD3" s="135"/>
      <c r="KE3" s="83"/>
      <c r="KF3" s="97"/>
      <c r="KG3" s="97"/>
      <c r="KH3" s="135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22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36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3"/>
      <c r="MT3" s="92"/>
      <c r="MU3" s="83"/>
      <c r="MV3" s="83"/>
      <c r="MW3" s="97"/>
      <c r="MX3" s="136"/>
      <c r="MY3" s="100"/>
      <c r="MZ3" s="100"/>
      <c r="NA3" s="100"/>
      <c r="NB3" s="97"/>
      <c r="NC3" s="83"/>
      <c r="ND3" s="103"/>
      <c r="NE3" s="103"/>
      <c r="NF3" s="97"/>
      <c r="NG3" s="92"/>
      <c r="NH3" s="133"/>
      <c r="NI3" s="133"/>
      <c r="NJ3" s="83"/>
      <c r="NK3" s="83"/>
      <c r="NL3" s="22"/>
      <c r="NM3" s="91"/>
      <c r="NN3" s="83"/>
    </row>
    <row r="4" spans="1:378" s="5" customFormat="1" ht="35.1" customHeight="1" x14ac:dyDescent="0.25">
      <c r="A4" s="135"/>
      <c r="B4" s="138"/>
      <c r="C4" s="25"/>
      <c r="D4" s="25"/>
      <c r="E4" s="83"/>
      <c r="F4" s="139"/>
      <c r="G4" s="139"/>
      <c r="H4" s="139"/>
      <c r="I4" s="26"/>
      <c r="J4" s="26"/>
      <c r="K4" s="83"/>
      <c r="L4" s="135"/>
      <c r="M4" s="135"/>
      <c r="N4" s="83"/>
      <c r="O4" s="83"/>
      <c r="P4" s="83"/>
      <c r="Q4" s="83"/>
      <c r="R4" s="135"/>
      <c r="S4" s="92"/>
      <c r="T4" s="92"/>
      <c r="U4" s="92"/>
      <c r="V4" s="83"/>
      <c r="W4" s="83"/>
      <c r="X4" s="92"/>
      <c r="Y4" s="10"/>
      <c r="Z4" s="10"/>
      <c r="AA4" s="10"/>
      <c r="AB4" s="10"/>
      <c r="AC4" s="135"/>
      <c r="AD4" s="27" t="s">
        <v>356</v>
      </c>
      <c r="AE4" s="27" t="s">
        <v>72</v>
      </c>
      <c r="AF4" s="27" t="s">
        <v>1</v>
      </c>
      <c r="AG4" s="27" t="s">
        <v>73</v>
      </c>
      <c r="AH4" s="27" t="s">
        <v>74</v>
      </c>
      <c r="AI4" s="27" t="s">
        <v>4</v>
      </c>
      <c r="AJ4" s="27" t="s">
        <v>75</v>
      </c>
      <c r="AK4" s="27" t="s">
        <v>76</v>
      </c>
      <c r="AL4" s="27" t="s">
        <v>77</v>
      </c>
      <c r="AM4" s="27" t="s">
        <v>7</v>
      </c>
      <c r="AN4" s="27" t="s">
        <v>78</v>
      </c>
      <c r="AO4" s="27" t="s">
        <v>8</v>
      </c>
      <c r="AP4" s="27" t="s">
        <v>79</v>
      </c>
      <c r="AQ4" s="27" t="s">
        <v>80</v>
      </c>
      <c r="AR4" s="27" t="s">
        <v>81</v>
      </c>
      <c r="AS4" s="27" t="s">
        <v>82</v>
      </c>
      <c r="AT4" s="27" t="s">
        <v>83</v>
      </c>
      <c r="AU4" s="27" t="s">
        <v>84</v>
      </c>
      <c r="AV4" s="27" t="s">
        <v>85</v>
      </c>
      <c r="AW4" s="27" t="s">
        <v>86</v>
      </c>
      <c r="AX4" s="27" t="s">
        <v>87</v>
      </c>
      <c r="AY4" s="27" t="s">
        <v>88</v>
      </c>
      <c r="AZ4" s="27"/>
      <c r="BA4" s="27"/>
      <c r="BB4" s="27" t="s">
        <v>89</v>
      </c>
      <c r="BC4" s="27" t="s">
        <v>90</v>
      </c>
      <c r="BD4" s="27" t="s">
        <v>15</v>
      </c>
      <c r="BE4" s="27" t="s">
        <v>91</v>
      </c>
      <c r="BF4" s="27" t="s">
        <v>92</v>
      </c>
      <c r="BG4" s="27" t="s">
        <v>93</v>
      </c>
      <c r="BH4" s="27"/>
      <c r="BI4" s="27"/>
      <c r="BJ4" s="27"/>
      <c r="BK4" s="27" t="s">
        <v>94</v>
      </c>
      <c r="BL4" s="27" t="s">
        <v>94</v>
      </c>
      <c r="BM4" s="27" t="s">
        <v>94</v>
      </c>
      <c r="BN4" s="27" t="s">
        <v>94</v>
      </c>
      <c r="BO4" s="27" t="s">
        <v>94</v>
      </c>
      <c r="BP4" s="27"/>
      <c r="BQ4" s="27"/>
      <c r="BR4" s="27"/>
      <c r="BS4" s="27" t="s">
        <v>95</v>
      </c>
      <c r="BT4" s="27" t="s">
        <v>97</v>
      </c>
      <c r="BU4" s="27" t="s">
        <v>99</v>
      </c>
      <c r="BV4" s="27" t="s">
        <v>101</v>
      </c>
      <c r="BW4" s="27" t="s">
        <v>5</v>
      </c>
      <c r="BX4" s="27" t="s">
        <v>103</v>
      </c>
      <c r="BY4" s="27" t="s">
        <v>105</v>
      </c>
      <c r="BZ4" s="27" t="s">
        <v>107</v>
      </c>
      <c r="CA4" s="27" t="s">
        <v>109</v>
      </c>
      <c r="CB4" s="27" t="s">
        <v>111</v>
      </c>
      <c r="CC4" s="27" t="s">
        <v>113</v>
      </c>
      <c r="CD4" s="27" t="s">
        <v>115</v>
      </c>
      <c r="CE4" s="27" t="s">
        <v>117</v>
      </c>
      <c r="CF4" s="27" t="s">
        <v>119</v>
      </c>
      <c r="CG4" s="27" t="s">
        <v>121</v>
      </c>
      <c r="CH4" s="27" t="s">
        <v>123</v>
      </c>
      <c r="CI4" s="27" t="s">
        <v>125</v>
      </c>
      <c r="CJ4" s="27" t="s">
        <v>126</v>
      </c>
      <c r="CK4" s="27" t="s">
        <v>127</v>
      </c>
      <c r="CL4" s="27" t="s">
        <v>128</v>
      </c>
      <c r="CM4" s="27" t="s">
        <v>129</v>
      </c>
      <c r="CN4" s="27" t="s">
        <v>130</v>
      </c>
      <c r="CO4" s="27" t="s">
        <v>131</v>
      </c>
      <c r="CP4" s="27" t="s">
        <v>132</v>
      </c>
      <c r="CQ4" s="27" t="s">
        <v>133</v>
      </c>
      <c r="CR4" s="27" t="s">
        <v>135</v>
      </c>
      <c r="CS4" s="27" t="s">
        <v>137</v>
      </c>
      <c r="CT4" s="27" t="s">
        <v>139</v>
      </c>
      <c r="CU4" s="27" t="s">
        <v>141</v>
      </c>
      <c r="CV4" s="27" t="s">
        <v>143</v>
      </c>
      <c r="CW4" s="27" t="s">
        <v>145</v>
      </c>
      <c r="CX4" s="27" t="s">
        <v>147</v>
      </c>
      <c r="CY4" s="27" t="s">
        <v>149</v>
      </c>
      <c r="CZ4" s="27" t="s">
        <v>151</v>
      </c>
      <c r="DA4" s="27" t="s">
        <v>153</v>
      </c>
      <c r="DB4" s="27" t="s">
        <v>155</v>
      </c>
      <c r="DC4" s="27" t="s">
        <v>157</v>
      </c>
      <c r="DD4" s="27" t="s">
        <v>159</v>
      </c>
      <c r="DE4" s="27" t="s">
        <v>161</v>
      </c>
      <c r="DF4" s="27" t="s">
        <v>163</v>
      </c>
      <c r="DG4" s="27" t="s">
        <v>165</v>
      </c>
      <c r="DH4" s="27" t="s">
        <v>167</v>
      </c>
      <c r="DI4" s="27" t="s">
        <v>169</v>
      </c>
      <c r="DJ4" s="27" t="s">
        <v>171</v>
      </c>
      <c r="DK4" s="27" t="s">
        <v>173</v>
      </c>
      <c r="DL4" s="27" t="s">
        <v>175</v>
      </c>
      <c r="DM4" s="27" t="s">
        <v>177</v>
      </c>
      <c r="DN4" s="27" t="s">
        <v>179</v>
      </c>
      <c r="DO4" s="27" t="s">
        <v>181</v>
      </c>
      <c r="DP4" s="27" t="s">
        <v>183</v>
      </c>
      <c r="DQ4" s="27" t="s">
        <v>185</v>
      </c>
      <c r="DR4" s="27" t="s">
        <v>187</v>
      </c>
      <c r="DS4" s="27" t="s">
        <v>189</v>
      </c>
      <c r="DT4" s="27" t="s">
        <v>191</v>
      </c>
      <c r="DU4" s="27" t="s">
        <v>193</v>
      </c>
      <c r="DV4" s="27" t="s">
        <v>195</v>
      </c>
      <c r="DW4" s="27" t="s">
        <v>197</v>
      </c>
      <c r="DX4" s="27" t="s">
        <v>199</v>
      </c>
      <c r="DY4" s="27" t="s">
        <v>201</v>
      </c>
      <c r="DZ4" s="27" t="s">
        <v>203</v>
      </c>
      <c r="EA4" s="27" t="s">
        <v>205</v>
      </c>
      <c r="EB4" s="27" t="s">
        <v>207</v>
      </c>
      <c r="EC4" s="27" t="s">
        <v>209</v>
      </c>
      <c r="ED4" s="27" t="s">
        <v>211</v>
      </c>
      <c r="EE4" s="27" t="s">
        <v>213</v>
      </c>
      <c r="EF4" s="27" t="s">
        <v>215</v>
      </c>
      <c r="EG4" s="27" t="s">
        <v>217</v>
      </c>
      <c r="EH4" s="27" t="s">
        <v>219</v>
      </c>
      <c r="EI4" s="27" t="s">
        <v>221</v>
      </c>
      <c r="EJ4" s="27" t="s">
        <v>223</v>
      </c>
      <c r="EK4" s="27" t="s">
        <v>225</v>
      </c>
      <c r="EL4" s="27" t="s">
        <v>227</v>
      </c>
      <c r="EM4" s="27" t="s">
        <v>229</v>
      </c>
      <c r="EN4" s="27" t="s">
        <v>231</v>
      </c>
      <c r="EO4" s="27" t="s">
        <v>233</v>
      </c>
      <c r="EP4" s="27" t="s">
        <v>235</v>
      </c>
      <c r="EQ4" s="27" t="s">
        <v>237</v>
      </c>
      <c r="ER4" s="27" t="s">
        <v>239</v>
      </c>
      <c r="ES4" s="27" t="s">
        <v>241</v>
      </c>
      <c r="ET4" s="27" t="s">
        <v>243</v>
      </c>
      <c r="EU4" s="27"/>
      <c r="EV4" s="27"/>
      <c r="EW4" s="27"/>
      <c r="EX4" s="27" t="s">
        <v>96</v>
      </c>
      <c r="EY4" s="27" t="s">
        <v>98</v>
      </c>
      <c r="EZ4" s="27" t="s">
        <v>100</v>
      </c>
      <c r="FA4" s="27" t="s">
        <v>102</v>
      </c>
      <c r="FB4" s="27" t="s">
        <v>6</v>
      </c>
      <c r="FC4" s="27" t="s">
        <v>104</v>
      </c>
      <c r="FD4" s="27" t="s">
        <v>106</v>
      </c>
      <c r="FE4" s="27" t="s">
        <v>108</v>
      </c>
      <c r="FF4" s="27" t="s">
        <v>110</v>
      </c>
      <c r="FG4" s="27" t="s">
        <v>112</v>
      </c>
      <c r="FH4" s="27" t="s">
        <v>114</v>
      </c>
      <c r="FI4" s="27" t="s">
        <v>116</v>
      </c>
      <c r="FJ4" s="27" t="s">
        <v>118</v>
      </c>
      <c r="FK4" s="27" t="s">
        <v>120</v>
      </c>
      <c r="FL4" s="27" t="s">
        <v>122</v>
      </c>
      <c r="FM4" s="27" t="s">
        <v>124</v>
      </c>
      <c r="FN4" s="27" t="s">
        <v>125</v>
      </c>
      <c r="FO4" s="27" t="s">
        <v>126</v>
      </c>
      <c r="FP4" s="27" t="s">
        <v>127</v>
      </c>
      <c r="FQ4" s="27" t="s">
        <v>128</v>
      </c>
      <c r="FR4" s="27" t="s">
        <v>129</v>
      </c>
      <c r="FS4" s="27" t="s">
        <v>130</v>
      </c>
      <c r="FT4" s="27" t="s">
        <v>131</v>
      </c>
      <c r="FU4" s="27" t="s">
        <v>132</v>
      </c>
      <c r="FV4" s="27" t="s">
        <v>134</v>
      </c>
      <c r="FW4" s="27" t="s">
        <v>136</v>
      </c>
      <c r="FX4" s="27" t="s">
        <v>138</v>
      </c>
      <c r="FY4" s="27" t="s">
        <v>140</v>
      </c>
      <c r="FZ4" s="27" t="s">
        <v>142</v>
      </c>
      <c r="GA4" s="27" t="s">
        <v>144</v>
      </c>
      <c r="GB4" s="27" t="s">
        <v>146</v>
      </c>
      <c r="GC4" s="27" t="s">
        <v>148</v>
      </c>
      <c r="GD4" s="27" t="s">
        <v>150</v>
      </c>
      <c r="GE4" s="27" t="s">
        <v>152</v>
      </c>
      <c r="GF4" s="27" t="s">
        <v>154</v>
      </c>
      <c r="GG4" s="27" t="s">
        <v>156</v>
      </c>
      <c r="GH4" s="27" t="s">
        <v>158</v>
      </c>
      <c r="GI4" s="27" t="s">
        <v>160</v>
      </c>
      <c r="GJ4" s="27" t="s">
        <v>162</v>
      </c>
      <c r="GK4" s="27" t="s">
        <v>164</v>
      </c>
      <c r="GL4" s="27" t="s">
        <v>166</v>
      </c>
      <c r="GM4" s="27" t="s">
        <v>168</v>
      </c>
      <c r="GN4" s="27" t="s">
        <v>170</v>
      </c>
      <c r="GO4" s="27" t="s">
        <v>172</v>
      </c>
      <c r="GP4" s="27" t="s">
        <v>174</v>
      </c>
      <c r="GQ4" s="27" t="s">
        <v>176</v>
      </c>
      <c r="GR4" s="27" t="s">
        <v>178</v>
      </c>
      <c r="GS4" s="27" t="s">
        <v>180</v>
      </c>
      <c r="GT4" s="27" t="s">
        <v>182</v>
      </c>
      <c r="GU4" s="27" t="s">
        <v>184</v>
      </c>
      <c r="GV4" s="27" t="s">
        <v>186</v>
      </c>
      <c r="GW4" s="27" t="s">
        <v>188</v>
      </c>
      <c r="GX4" s="27" t="s">
        <v>190</v>
      </c>
      <c r="GY4" s="27" t="s">
        <v>192</v>
      </c>
      <c r="GZ4" s="27" t="s">
        <v>194</v>
      </c>
      <c r="HA4" s="27" t="s">
        <v>196</v>
      </c>
      <c r="HB4" s="27" t="s">
        <v>198</v>
      </c>
      <c r="HC4" s="27" t="s">
        <v>200</v>
      </c>
      <c r="HD4" s="27" t="s">
        <v>202</v>
      </c>
      <c r="HE4" s="27" t="s">
        <v>204</v>
      </c>
      <c r="HF4" s="27" t="s">
        <v>206</v>
      </c>
      <c r="HG4" s="27" t="s">
        <v>208</v>
      </c>
      <c r="HH4" s="27" t="s">
        <v>210</v>
      </c>
      <c r="HI4" s="27" t="s">
        <v>212</v>
      </c>
      <c r="HJ4" s="27" t="s">
        <v>214</v>
      </c>
      <c r="HK4" s="27" t="s">
        <v>216</v>
      </c>
      <c r="HL4" s="27" t="s">
        <v>218</v>
      </c>
      <c r="HM4" s="27" t="s">
        <v>220</v>
      </c>
      <c r="HN4" s="27" t="s">
        <v>222</v>
      </c>
      <c r="HO4" s="27" t="s">
        <v>224</v>
      </c>
      <c r="HP4" s="27" t="s">
        <v>226</v>
      </c>
      <c r="HQ4" s="27" t="s">
        <v>228</v>
      </c>
      <c r="HR4" s="27" t="s">
        <v>230</v>
      </c>
      <c r="HS4" s="27" t="s">
        <v>232</v>
      </c>
      <c r="HT4" s="27" t="s">
        <v>234</v>
      </c>
      <c r="HU4" s="27" t="s">
        <v>236</v>
      </c>
      <c r="HV4" s="27" t="s">
        <v>238</v>
      </c>
      <c r="HW4" s="27" t="s">
        <v>240</v>
      </c>
      <c r="HX4" s="27" t="s">
        <v>242</v>
      </c>
      <c r="HY4" s="27" t="s">
        <v>244</v>
      </c>
      <c r="HZ4" s="27"/>
      <c r="IA4" s="27"/>
      <c r="IB4" s="27"/>
      <c r="IC4" s="27" t="s">
        <v>245</v>
      </c>
      <c r="ID4" s="27" t="s">
        <v>246</v>
      </c>
      <c r="IE4" s="27" t="s">
        <v>247</v>
      </c>
      <c r="IF4" s="27" t="s">
        <v>248</v>
      </c>
      <c r="IG4" s="27" t="s">
        <v>249</v>
      </c>
      <c r="IH4" s="27" t="s">
        <v>250</v>
      </c>
      <c r="II4" s="27" t="s">
        <v>251</v>
      </c>
      <c r="IJ4" s="27" t="s">
        <v>252</v>
      </c>
      <c r="IK4" s="27" t="s">
        <v>253</v>
      </c>
      <c r="IL4" s="27" t="s">
        <v>254</v>
      </c>
      <c r="IM4" s="22" t="s">
        <v>255</v>
      </c>
      <c r="IN4" s="22" t="s">
        <v>256</v>
      </c>
      <c r="IO4" s="22"/>
      <c r="IP4" s="22"/>
      <c r="IQ4" s="135"/>
      <c r="IR4" s="83"/>
      <c r="IS4" s="83"/>
      <c r="IT4" s="92"/>
      <c r="IU4" s="83"/>
      <c r="IV4" s="135"/>
      <c r="IW4" s="135"/>
      <c r="IX4" s="135"/>
      <c r="IY4" s="83"/>
      <c r="IZ4" s="83"/>
      <c r="JA4" s="83"/>
      <c r="JB4" s="22"/>
      <c r="JC4" s="22"/>
      <c r="JD4" s="22"/>
      <c r="JE4" s="97"/>
      <c r="JF4" s="97"/>
      <c r="JG4" s="83"/>
      <c r="JH4" s="92"/>
      <c r="JI4" s="22"/>
      <c r="JJ4" s="22"/>
      <c r="JK4" s="22"/>
      <c r="JL4" s="135"/>
      <c r="JM4" s="83"/>
      <c r="JN4" s="92"/>
      <c r="JO4" s="83"/>
      <c r="JP4" s="83"/>
      <c r="JQ4" s="22"/>
      <c r="JR4" s="135"/>
      <c r="JS4" s="83"/>
      <c r="JT4" s="83"/>
      <c r="JU4" s="83"/>
      <c r="JV4" s="83"/>
      <c r="JW4" s="83"/>
      <c r="JX4" s="22"/>
      <c r="JY4" s="83"/>
      <c r="JZ4" s="136"/>
      <c r="KA4" s="83"/>
      <c r="KB4" s="133"/>
      <c r="KC4" s="135"/>
      <c r="KD4" s="135"/>
      <c r="KE4" s="83"/>
      <c r="KF4" s="97"/>
      <c r="KG4" s="97"/>
      <c r="KH4" s="135"/>
      <c r="KI4" s="83"/>
      <c r="KJ4" s="83"/>
      <c r="KK4" s="83"/>
      <c r="KL4" s="22" t="s">
        <v>365</v>
      </c>
      <c r="KM4" s="1" t="s">
        <v>376</v>
      </c>
      <c r="KN4" s="22" t="s">
        <v>366</v>
      </c>
      <c r="KO4" s="1" t="s">
        <v>376</v>
      </c>
      <c r="KP4" s="22" t="s">
        <v>367</v>
      </c>
      <c r="KQ4" s="22" t="s">
        <v>376</v>
      </c>
      <c r="KR4" s="22" t="s">
        <v>368</v>
      </c>
      <c r="KS4" s="22" t="s">
        <v>376</v>
      </c>
      <c r="KT4" s="22" t="s">
        <v>369</v>
      </c>
      <c r="KU4" s="22" t="s">
        <v>376</v>
      </c>
      <c r="KV4" s="22" t="s">
        <v>370</v>
      </c>
      <c r="KW4" s="22" t="s">
        <v>376</v>
      </c>
      <c r="KX4" s="22" t="s">
        <v>371</v>
      </c>
      <c r="KY4" s="22" t="s">
        <v>376</v>
      </c>
      <c r="KZ4" s="22" t="s">
        <v>372</v>
      </c>
      <c r="LA4" s="22" t="s">
        <v>376</v>
      </c>
      <c r="LB4" s="22" t="s">
        <v>373</v>
      </c>
      <c r="LC4" s="22" t="s">
        <v>376</v>
      </c>
      <c r="LD4" s="22" t="s">
        <v>374</v>
      </c>
      <c r="LE4" s="22" t="s">
        <v>376</v>
      </c>
      <c r="LF4" s="22" t="s">
        <v>390</v>
      </c>
      <c r="LG4" s="22" t="s">
        <v>376</v>
      </c>
      <c r="LH4" s="22" t="s">
        <v>391</v>
      </c>
      <c r="LI4" s="24" t="s">
        <v>376</v>
      </c>
      <c r="LJ4" s="22" t="s">
        <v>392</v>
      </c>
      <c r="LK4" s="22" t="s">
        <v>376</v>
      </c>
      <c r="LL4" s="22" t="s">
        <v>393</v>
      </c>
      <c r="LM4" s="22" t="s">
        <v>376</v>
      </c>
      <c r="LN4" s="22" t="s">
        <v>394</v>
      </c>
      <c r="LO4" s="24" t="s">
        <v>376</v>
      </c>
      <c r="LP4" s="22" t="s">
        <v>395</v>
      </c>
      <c r="LQ4" s="22" t="s">
        <v>376</v>
      </c>
      <c r="LR4" s="22" t="s">
        <v>396</v>
      </c>
      <c r="LS4" s="22" t="s">
        <v>376</v>
      </c>
      <c r="LT4" s="22" t="s">
        <v>397</v>
      </c>
      <c r="LU4" s="24" t="s">
        <v>376</v>
      </c>
      <c r="LV4" s="22" t="s">
        <v>398</v>
      </c>
      <c r="LW4" s="22" t="s">
        <v>376</v>
      </c>
      <c r="LX4" s="22" t="s">
        <v>399</v>
      </c>
      <c r="LY4" s="22" t="s">
        <v>376</v>
      </c>
      <c r="LZ4" s="22" t="s">
        <v>400</v>
      </c>
      <c r="MA4" s="24" t="s">
        <v>376</v>
      </c>
      <c r="MB4" s="22" t="s">
        <v>401</v>
      </c>
      <c r="MC4" s="22" t="s">
        <v>376</v>
      </c>
      <c r="MD4" s="22" t="s">
        <v>402</v>
      </c>
      <c r="ME4" s="22" t="s">
        <v>376</v>
      </c>
      <c r="MF4" s="22" t="s">
        <v>403</v>
      </c>
      <c r="MG4" s="24" t="s">
        <v>376</v>
      </c>
      <c r="MH4" s="136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3"/>
      <c r="MT4" s="92"/>
      <c r="MU4" s="83"/>
      <c r="MV4" s="83"/>
      <c r="MW4" s="97"/>
      <c r="MX4" s="136"/>
      <c r="MY4" s="100"/>
      <c r="MZ4" s="100"/>
      <c r="NA4" s="100"/>
      <c r="NB4" s="97"/>
      <c r="NC4" s="83"/>
      <c r="ND4" s="103"/>
      <c r="NE4" s="103"/>
      <c r="NF4" s="97"/>
      <c r="NG4" s="92"/>
      <c r="NH4" s="133"/>
      <c r="NI4" s="133"/>
      <c r="NJ4" s="83"/>
      <c r="NK4" s="83"/>
      <c r="NL4" s="22" t="e">
        <f ca="1">_xludf.now()</f>
        <v>#NAME?</v>
      </c>
      <c r="NM4" s="22" t="s">
        <v>419</v>
      </c>
      <c r="NN4" s="22" t="s">
        <v>421</v>
      </c>
    </row>
    <row r="5" spans="1:378" x14ac:dyDescent="0.25">
      <c r="A5" t="b">
        <v>0</v>
      </c>
      <c r="B5" t="b">
        <v>1</v>
      </c>
      <c r="C5" t="b">
        <v>1</v>
      </c>
      <c r="D5" t="b">
        <v>1</v>
      </c>
      <c r="E5" t="b">
        <v>0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0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  <c r="CS5" t="b">
        <v>1</v>
      </c>
      <c r="CT5" t="b">
        <v>1</v>
      </c>
      <c r="CU5" t="b">
        <v>1</v>
      </c>
      <c r="CV5" t="b">
        <v>1</v>
      </c>
      <c r="CW5" t="b">
        <v>1</v>
      </c>
      <c r="CX5" t="b">
        <v>1</v>
      </c>
      <c r="CY5" t="b">
        <v>1</v>
      </c>
      <c r="CZ5" t="b">
        <v>1</v>
      </c>
      <c r="DA5" t="b">
        <v>1</v>
      </c>
      <c r="DB5" t="b">
        <v>1</v>
      </c>
      <c r="DC5" t="b">
        <v>1</v>
      </c>
      <c r="DD5" t="b">
        <v>1</v>
      </c>
      <c r="DE5" t="b">
        <v>1</v>
      </c>
      <c r="DF5" t="b">
        <v>1</v>
      </c>
      <c r="DG5" t="b">
        <v>1</v>
      </c>
      <c r="DH5" t="b">
        <v>1</v>
      </c>
      <c r="DI5" t="b">
        <v>1</v>
      </c>
      <c r="DJ5" t="b">
        <v>1</v>
      </c>
      <c r="DK5" t="b">
        <v>1</v>
      </c>
      <c r="DL5" t="b">
        <v>1</v>
      </c>
      <c r="DM5" t="b">
        <v>1</v>
      </c>
      <c r="DN5" t="b">
        <v>1</v>
      </c>
      <c r="DO5" t="b">
        <v>1</v>
      </c>
      <c r="DP5" t="b">
        <v>1</v>
      </c>
      <c r="DQ5" t="b">
        <v>1</v>
      </c>
      <c r="DR5" t="b">
        <v>1</v>
      </c>
      <c r="DS5" t="b">
        <v>1</v>
      </c>
      <c r="DT5" t="b">
        <v>1</v>
      </c>
      <c r="DU5" t="b">
        <v>1</v>
      </c>
      <c r="DV5" t="b">
        <v>1</v>
      </c>
      <c r="DW5" t="b">
        <v>1</v>
      </c>
      <c r="DX5" t="b">
        <v>1</v>
      </c>
      <c r="DY5" t="b">
        <v>1</v>
      </c>
      <c r="DZ5" t="b">
        <v>1</v>
      </c>
      <c r="EA5" t="b">
        <v>1</v>
      </c>
      <c r="EB5" t="b">
        <v>1</v>
      </c>
      <c r="EC5" t="b">
        <v>1</v>
      </c>
      <c r="ED5" t="b">
        <v>1</v>
      </c>
      <c r="EE5" t="b">
        <v>1</v>
      </c>
      <c r="EF5" t="b">
        <v>1</v>
      </c>
      <c r="EG5" t="b">
        <v>1</v>
      </c>
      <c r="EH5" t="b">
        <v>1</v>
      </c>
      <c r="EI5" t="b">
        <v>1</v>
      </c>
      <c r="EJ5" t="b">
        <v>1</v>
      </c>
      <c r="EK5" t="b">
        <v>1</v>
      </c>
      <c r="EL5" t="b">
        <v>1</v>
      </c>
      <c r="EM5" t="b">
        <v>1</v>
      </c>
      <c r="EN5" t="b">
        <v>1</v>
      </c>
      <c r="EO5" t="b">
        <v>1</v>
      </c>
      <c r="EP5" t="b">
        <v>1</v>
      </c>
      <c r="EQ5" t="b">
        <v>1</v>
      </c>
      <c r="ER5" t="b">
        <v>1</v>
      </c>
      <c r="ES5" t="b">
        <v>1</v>
      </c>
      <c r="ET5" t="b">
        <v>1</v>
      </c>
      <c r="EU5" t="b">
        <v>1</v>
      </c>
      <c r="EV5" t="b">
        <v>1</v>
      </c>
      <c r="EW5" t="b">
        <v>1</v>
      </c>
      <c r="EX5" t="b">
        <v>1</v>
      </c>
      <c r="EY5" t="b">
        <v>1</v>
      </c>
      <c r="EZ5" t="b">
        <v>1</v>
      </c>
      <c r="FA5" t="b">
        <v>1</v>
      </c>
      <c r="FB5" t="b">
        <v>1</v>
      </c>
      <c r="FC5" t="b">
        <v>1</v>
      </c>
      <c r="FD5" t="b">
        <v>1</v>
      </c>
      <c r="FE5" t="b">
        <v>1</v>
      </c>
      <c r="FF5" t="b">
        <v>1</v>
      </c>
      <c r="FG5" t="b">
        <v>1</v>
      </c>
      <c r="FH5" t="b">
        <v>1</v>
      </c>
      <c r="FI5" t="b">
        <v>1</v>
      </c>
      <c r="FJ5" t="b">
        <v>1</v>
      </c>
      <c r="FK5" t="b">
        <v>1</v>
      </c>
      <c r="FL5" t="b">
        <v>1</v>
      </c>
      <c r="FM5" t="b">
        <v>1</v>
      </c>
      <c r="FN5" t="b">
        <v>1</v>
      </c>
      <c r="FO5" t="b">
        <v>1</v>
      </c>
      <c r="FP5" t="b">
        <v>1</v>
      </c>
      <c r="FQ5" t="b">
        <v>1</v>
      </c>
      <c r="FR5" t="b">
        <v>1</v>
      </c>
      <c r="FS5" t="b">
        <v>1</v>
      </c>
      <c r="FT5" t="b">
        <v>1</v>
      </c>
      <c r="FU5" t="b">
        <v>1</v>
      </c>
      <c r="FV5" t="b">
        <v>1</v>
      </c>
      <c r="FW5" t="b">
        <v>1</v>
      </c>
      <c r="FX5" t="b">
        <v>1</v>
      </c>
      <c r="FY5" t="b">
        <v>1</v>
      </c>
      <c r="FZ5" t="b">
        <v>1</v>
      </c>
      <c r="GA5" t="b">
        <v>1</v>
      </c>
      <c r="GB5" t="b">
        <v>1</v>
      </c>
      <c r="GC5" t="b">
        <v>1</v>
      </c>
      <c r="GD5" t="b">
        <v>1</v>
      </c>
      <c r="GE5" t="b">
        <v>1</v>
      </c>
      <c r="GF5" t="b">
        <v>1</v>
      </c>
      <c r="GG5" t="b">
        <v>1</v>
      </c>
      <c r="GH5" t="b">
        <v>1</v>
      </c>
      <c r="GI5" t="b">
        <v>1</v>
      </c>
      <c r="GJ5" t="b">
        <v>1</v>
      </c>
      <c r="GK5" t="b">
        <v>1</v>
      </c>
      <c r="GL5" t="b">
        <v>1</v>
      </c>
      <c r="GM5" t="b">
        <v>1</v>
      </c>
      <c r="GN5" t="b">
        <v>1</v>
      </c>
      <c r="GO5" t="b">
        <v>1</v>
      </c>
      <c r="GP5" t="b">
        <v>1</v>
      </c>
      <c r="GQ5" t="b">
        <v>1</v>
      </c>
      <c r="GR5" t="b">
        <v>1</v>
      </c>
      <c r="GS5" t="b">
        <v>1</v>
      </c>
      <c r="GT5" t="b">
        <v>1</v>
      </c>
      <c r="GU5" t="b">
        <v>1</v>
      </c>
      <c r="GV5" t="b">
        <v>1</v>
      </c>
      <c r="GW5" t="b">
        <v>1</v>
      </c>
      <c r="GX5" t="b">
        <v>1</v>
      </c>
      <c r="GY5" t="b">
        <v>1</v>
      </c>
      <c r="GZ5" t="b">
        <v>1</v>
      </c>
      <c r="HA5" t="b">
        <v>1</v>
      </c>
      <c r="HB5" t="b">
        <v>1</v>
      </c>
      <c r="HC5" t="b">
        <v>1</v>
      </c>
      <c r="HD5" t="b">
        <v>1</v>
      </c>
      <c r="HE5" t="b">
        <v>1</v>
      </c>
      <c r="HF5" t="b">
        <v>1</v>
      </c>
      <c r="HG5" t="b">
        <v>1</v>
      </c>
      <c r="HH5" t="b">
        <v>1</v>
      </c>
      <c r="HI5" t="b">
        <v>1</v>
      </c>
      <c r="HJ5" t="b">
        <v>1</v>
      </c>
      <c r="HK5" t="b">
        <v>1</v>
      </c>
      <c r="HL5" t="b">
        <v>1</v>
      </c>
      <c r="HM5" t="b">
        <v>1</v>
      </c>
      <c r="HN5" t="b">
        <v>1</v>
      </c>
      <c r="HO5" t="b">
        <v>1</v>
      </c>
      <c r="HP5" t="b">
        <v>1</v>
      </c>
      <c r="HQ5" t="b">
        <v>1</v>
      </c>
      <c r="HR5" t="b">
        <v>1</v>
      </c>
      <c r="HS5" t="b">
        <v>1</v>
      </c>
      <c r="HT5" t="b">
        <v>1</v>
      </c>
      <c r="HU5" t="b">
        <v>1</v>
      </c>
      <c r="HV5" t="b">
        <v>1</v>
      </c>
      <c r="HW5" t="b">
        <v>1</v>
      </c>
      <c r="HX5" t="b">
        <v>1</v>
      </c>
      <c r="HY5" t="b">
        <v>1</v>
      </c>
      <c r="HZ5" t="b">
        <v>1</v>
      </c>
      <c r="IA5" t="b">
        <v>1</v>
      </c>
      <c r="IB5" t="b">
        <v>1</v>
      </c>
      <c r="IC5" t="b">
        <v>1</v>
      </c>
      <c r="ID5" t="b">
        <v>1</v>
      </c>
      <c r="IE5" t="b">
        <v>1</v>
      </c>
      <c r="IF5" t="b">
        <v>1</v>
      </c>
      <c r="IG5" t="b">
        <v>1</v>
      </c>
      <c r="IH5" t="b">
        <v>1</v>
      </c>
      <c r="II5" t="b">
        <v>1</v>
      </c>
      <c r="IJ5" t="b">
        <v>1</v>
      </c>
      <c r="IK5" t="b">
        <v>1</v>
      </c>
      <c r="IL5" t="b">
        <v>1</v>
      </c>
      <c r="IM5" t="b">
        <v>1</v>
      </c>
      <c r="IN5" t="b">
        <v>1</v>
      </c>
      <c r="IO5" t="b">
        <v>1</v>
      </c>
      <c r="IP5" t="b">
        <v>1</v>
      </c>
      <c r="IQ5" t="b">
        <v>1</v>
      </c>
      <c r="IR5" t="b">
        <v>1</v>
      </c>
      <c r="IS5" t="b">
        <v>1</v>
      </c>
      <c r="IT5" t="b">
        <v>1</v>
      </c>
      <c r="IU5" t="b">
        <v>1</v>
      </c>
      <c r="IV5" t="b">
        <v>1</v>
      </c>
      <c r="IW5" t="b">
        <v>1</v>
      </c>
      <c r="IX5" t="b">
        <v>1</v>
      </c>
      <c r="IY5" t="b">
        <v>1</v>
      </c>
      <c r="IZ5" t="b">
        <v>1</v>
      </c>
      <c r="JA5" t="b">
        <v>1</v>
      </c>
      <c r="JB5" t="b">
        <v>1</v>
      </c>
      <c r="JC5" t="b">
        <v>1</v>
      </c>
      <c r="JD5" t="b">
        <v>1</v>
      </c>
      <c r="JE5" t="b">
        <v>1</v>
      </c>
      <c r="JF5" t="b">
        <v>1</v>
      </c>
      <c r="JG5" t="b">
        <v>1</v>
      </c>
      <c r="JH5" t="b">
        <v>1</v>
      </c>
      <c r="JI5" t="b">
        <v>1</v>
      </c>
      <c r="JJ5" t="b">
        <v>1</v>
      </c>
      <c r="JK5" t="b">
        <v>1</v>
      </c>
      <c r="JL5" t="b">
        <v>1</v>
      </c>
      <c r="JM5" t="b">
        <v>1</v>
      </c>
      <c r="JN5" t="b">
        <v>1</v>
      </c>
      <c r="JO5" t="b">
        <v>1</v>
      </c>
      <c r="JP5" t="b">
        <v>1</v>
      </c>
      <c r="JQ5" t="b">
        <v>1</v>
      </c>
      <c r="JR5" t="b">
        <v>1</v>
      </c>
      <c r="JS5" t="b">
        <v>1</v>
      </c>
      <c r="JT5" t="b">
        <v>1</v>
      </c>
      <c r="JU5" t="b">
        <v>1</v>
      </c>
      <c r="JV5" t="b">
        <v>1</v>
      </c>
      <c r="JW5" t="b">
        <v>1</v>
      </c>
      <c r="JX5" t="b">
        <v>1</v>
      </c>
      <c r="JY5" t="b">
        <v>1</v>
      </c>
      <c r="JZ5" t="b">
        <v>0</v>
      </c>
      <c r="KA5" t="b">
        <v>0</v>
      </c>
      <c r="KB5" t="b">
        <v>1</v>
      </c>
      <c r="KC5" t="b">
        <v>1</v>
      </c>
      <c r="KD5" t="b">
        <v>1</v>
      </c>
      <c r="KE5" t="b">
        <v>1</v>
      </c>
      <c r="KF5" t="b">
        <v>1</v>
      </c>
      <c r="KG5" t="b">
        <v>1</v>
      </c>
      <c r="KH5" t="b">
        <v>1</v>
      </c>
      <c r="KI5" t="b">
        <v>1</v>
      </c>
      <c r="KJ5" t="b">
        <v>1</v>
      </c>
      <c r="KK5" t="b">
        <v>1</v>
      </c>
      <c r="KL5" t="b">
        <v>1</v>
      </c>
      <c r="KM5" t="b">
        <v>1</v>
      </c>
      <c r="KN5" t="b">
        <v>1</v>
      </c>
      <c r="KO5" t="b">
        <v>1</v>
      </c>
      <c r="KP5" t="b">
        <v>1</v>
      </c>
      <c r="KQ5" t="b">
        <v>1</v>
      </c>
      <c r="KR5" t="b">
        <v>1</v>
      </c>
      <c r="KS5" t="b">
        <v>1</v>
      </c>
      <c r="KT5" t="b">
        <v>1</v>
      </c>
      <c r="KU5" t="b">
        <v>1</v>
      </c>
      <c r="KV5" t="b">
        <v>1</v>
      </c>
      <c r="KW5" t="b">
        <v>1</v>
      </c>
      <c r="KX5" t="b">
        <v>1</v>
      </c>
      <c r="KY5" t="b">
        <v>1</v>
      </c>
      <c r="KZ5" t="b">
        <v>1</v>
      </c>
      <c r="LA5" t="b">
        <v>1</v>
      </c>
      <c r="LB5" t="b">
        <v>1</v>
      </c>
      <c r="LC5" t="b">
        <v>1</v>
      </c>
      <c r="LD5" t="b">
        <v>1</v>
      </c>
      <c r="LE5" t="b">
        <v>1</v>
      </c>
      <c r="LF5" t="b">
        <v>1</v>
      </c>
      <c r="LG5" t="b">
        <v>1</v>
      </c>
      <c r="LH5" t="b">
        <v>1</v>
      </c>
      <c r="LI5" t="b">
        <v>1</v>
      </c>
      <c r="LJ5" t="b">
        <v>1</v>
      </c>
      <c r="LK5" t="b">
        <v>1</v>
      </c>
      <c r="LL5" t="b">
        <v>1</v>
      </c>
      <c r="LM5" t="b">
        <v>1</v>
      </c>
      <c r="LN5" t="b">
        <v>1</v>
      </c>
      <c r="LO5" t="b">
        <v>1</v>
      </c>
      <c r="LP5" t="b">
        <v>1</v>
      </c>
      <c r="LQ5" t="b">
        <v>1</v>
      </c>
      <c r="LR5" t="b">
        <v>1</v>
      </c>
      <c r="LS5" t="b">
        <v>1</v>
      </c>
      <c r="LT5" t="b">
        <v>1</v>
      </c>
      <c r="LU5" t="b">
        <v>1</v>
      </c>
      <c r="LV5" t="b">
        <v>1</v>
      </c>
      <c r="LW5" t="b">
        <v>1</v>
      </c>
      <c r="LX5" t="b">
        <v>1</v>
      </c>
      <c r="LY5" t="b">
        <v>1</v>
      </c>
      <c r="LZ5" t="b">
        <v>1</v>
      </c>
      <c r="MA5" t="b">
        <v>1</v>
      </c>
      <c r="MB5" t="b">
        <v>1</v>
      </c>
      <c r="MC5" t="b">
        <v>1</v>
      </c>
      <c r="MD5" t="b">
        <v>1</v>
      </c>
      <c r="ME5" t="b">
        <v>1</v>
      </c>
      <c r="MF5" t="b">
        <v>1</v>
      </c>
      <c r="MG5" t="b">
        <v>1</v>
      </c>
      <c r="MH5" t="b">
        <v>0</v>
      </c>
      <c r="MI5" t="b">
        <v>1</v>
      </c>
      <c r="MJ5" t="b">
        <v>1</v>
      </c>
      <c r="MK5" t="b">
        <v>1</v>
      </c>
      <c r="ML5" t="b">
        <v>1</v>
      </c>
      <c r="MM5" t="b">
        <v>1</v>
      </c>
      <c r="MN5" t="b">
        <v>1</v>
      </c>
      <c r="MO5" t="b">
        <v>1</v>
      </c>
      <c r="MP5" t="b">
        <v>1</v>
      </c>
      <c r="MQ5" t="b">
        <v>1</v>
      </c>
      <c r="MR5" t="b">
        <v>1</v>
      </c>
      <c r="MS5" t="b">
        <v>1</v>
      </c>
      <c r="MT5" t="b">
        <v>1</v>
      </c>
      <c r="MU5" t="b">
        <v>1</v>
      </c>
      <c r="MV5" t="b">
        <v>1</v>
      </c>
      <c r="MW5" t="b">
        <v>1</v>
      </c>
      <c r="MX5" t="b">
        <v>0</v>
      </c>
      <c r="MY5" t="b">
        <v>0</v>
      </c>
      <c r="MZ5" t="b">
        <v>1</v>
      </c>
      <c r="NA5" t="b">
        <v>1</v>
      </c>
      <c r="NB5" t="b">
        <v>1</v>
      </c>
      <c r="NC5" t="b">
        <v>1</v>
      </c>
      <c r="ND5" t="b">
        <v>1</v>
      </c>
      <c r="NE5" t="b">
        <v>1</v>
      </c>
      <c r="NF5" t="b">
        <v>1</v>
      </c>
      <c r="NG5" t="b">
        <v>1</v>
      </c>
      <c r="NH5" t="b">
        <v>1</v>
      </c>
      <c r="NI5" t="b">
        <v>1</v>
      </c>
      <c r="NJ5" t="b">
        <v>0</v>
      </c>
      <c r="NK5" t="b">
        <v>0</v>
      </c>
      <c r="NL5" t="b">
        <v>1</v>
      </c>
      <c r="NM5" t="s">
        <v>461</v>
      </c>
      <c r="NN5" t="b">
        <v>0</v>
      </c>
    </row>
    <row r="6" spans="1:378" x14ac:dyDescent="0.25">
      <c r="A6" t="b">
        <v>0</v>
      </c>
      <c r="B6" t="b">
        <v>1</v>
      </c>
      <c r="C6" t="b">
        <v>1</v>
      </c>
      <c r="D6" t="b">
        <v>1</v>
      </c>
      <c r="E6" t="b">
        <v>0</v>
      </c>
      <c r="F6" t="b">
        <v>1</v>
      </c>
      <c r="G6" t="b">
        <v>1</v>
      </c>
      <c r="H6" t="b">
        <v>1</v>
      </c>
      <c r="I6" t="b">
        <v>1</v>
      </c>
      <c r="J6" t="b">
        <v>1</v>
      </c>
      <c r="K6" t="b">
        <v>0</v>
      </c>
      <c r="L6" t="b">
        <v>1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1</v>
      </c>
      <c r="AN6" t="b">
        <v>1</v>
      </c>
      <c r="AO6" t="b">
        <v>1</v>
      </c>
      <c r="AP6" t="b">
        <v>1</v>
      </c>
      <c r="AQ6" t="b">
        <v>1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  <c r="BG6" t="b">
        <v>1</v>
      </c>
      <c r="BH6" t="b">
        <v>1</v>
      </c>
      <c r="BI6" t="b">
        <v>1</v>
      </c>
      <c r="BJ6" t="b">
        <v>1</v>
      </c>
      <c r="BK6" t="b">
        <v>1</v>
      </c>
      <c r="BL6" t="b">
        <v>1</v>
      </c>
      <c r="BM6" t="b">
        <v>1</v>
      </c>
      <c r="BN6" t="b">
        <v>1</v>
      </c>
      <c r="BO6" t="b">
        <v>1</v>
      </c>
      <c r="BP6" t="b">
        <v>1</v>
      </c>
      <c r="BQ6" t="b">
        <v>1</v>
      </c>
      <c r="BR6" t="b">
        <v>1</v>
      </c>
      <c r="BS6" t="b">
        <v>1</v>
      </c>
      <c r="BT6" t="b">
        <v>1</v>
      </c>
      <c r="BU6" t="b">
        <v>1</v>
      </c>
      <c r="BV6" t="b">
        <v>1</v>
      </c>
      <c r="BW6" t="b">
        <v>1</v>
      </c>
      <c r="BX6" t="b">
        <v>1</v>
      </c>
      <c r="BY6" t="b">
        <v>1</v>
      </c>
      <c r="BZ6" t="b">
        <v>1</v>
      </c>
      <c r="CA6" t="b">
        <v>1</v>
      </c>
      <c r="CB6" t="b">
        <v>1</v>
      </c>
      <c r="CC6" t="b">
        <v>1</v>
      </c>
      <c r="CD6" t="b">
        <v>1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1</v>
      </c>
      <c r="CZ6" t="b">
        <v>1</v>
      </c>
      <c r="DA6" t="b">
        <v>1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1</v>
      </c>
      <c r="DH6" t="b">
        <v>1</v>
      </c>
      <c r="DI6" t="b">
        <v>1</v>
      </c>
      <c r="DJ6" t="b">
        <v>1</v>
      </c>
      <c r="DK6" t="b">
        <v>1</v>
      </c>
      <c r="DL6" t="b">
        <v>1</v>
      </c>
      <c r="DM6" t="b">
        <v>1</v>
      </c>
      <c r="DN6" t="b">
        <v>1</v>
      </c>
      <c r="DO6" t="b">
        <v>1</v>
      </c>
      <c r="DP6" t="b">
        <v>1</v>
      </c>
      <c r="DQ6" t="b">
        <v>1</v>
      </c>
      <c r="DR6" t="b">
        <v>1</v>
      </c>
      <c r="DS6" t="b">
        <v>1</v>
      </c>
      <c r="DT6" t="b">
        <v>1</v>
      </c>
      <c r="DU6" t="b">
        <v>1</v>
      </c>
      <c r="DV6" t="b">
        <v>1</v>
      </c>
      <c r="DW6" t="b">
        <v>1</v>
      </c>
      <c r="DX6" t="b">
        <v>1</v>
      </c>
      <c r="DY6" t="b">
        <v>1</v>
      </c>
      <c r="DZ6" t="b">
        <v>1</v>
      </c>
      <c r="EA6" t="b">
        <v>1</v>
      </c>
      <c r="EB6" t="b">
        <v>1</v>
      </c>
      <c r="EC6" t="b">
        <v>1</v>
      </c>
      <c r="ED6" t="b">
        <v>1</v>
      </c>
      <c r="EE6" t="b">
        <v>1</v>
      </c>
      <c r="EF6" t="b">
        <v>1</v>
      </c>
      <c r="EG6" t="b">
        <v>1</v>
      </c>
      <c r="EH6" t="b">
        <v>1</v>
      </c>
      <c r="EI6" t="b">
        <v>1</v>
      </c>
      <c r="EJ6" t="b">
        <v>1</v>
      </c>
      <c r="EK6" t="b">
        <v>1</v>
      </c>
      <c r="EL6" t="b">
        <v>1</v>
      </c>
      <c r="EM6" t="b">
        <v>1</v>
      </c>
      <c r="EN6" t="b">
        <v>1</v>
      </c>
      <c r="EO6" t="b">
        <v>1</v>
      </c>
      <c r="EP6" t="b">
        <v>1</v>
      </c>
      <c r="EQ6" t="b">
        <v>1</v>
      </c>
      <c r="ER6" t="b">
        <v>1</v>
      </c>
      <c r="ES6" t="b">
        <v>1</v>
      </c>
      <c r="ET6" t="b">
        <v>1</v>
      </c>
      <c r="EU6" t="b">
        <v>1</v>
      </c>
      <c r="EV6" t="b">
        <v>1</v>
      </c>
      <c r="EW6" t="b">
        <v>1</v>
      </c>
      <c r="EX6" t="b">
        <v>1</v>
      </c>
      <c r="EY6" t="b">
        <v>1</v>
      </c>
      <c r="EZ6" t="b">
        <v>1</v>
      </c>
      <c r="FA6" t="b">
        <v>1</v>
      </c>
      <c r="FB6" t="b">
        <v>1</v>
      </c>
      <c r="FC6" t="b">
        <v>1</v>
      </c>
      <c r="FD6" t="b">
        <v>1</v>
      </c>
      <c r="FE6" t="b">
        <v>1</v>
      </c>
      <c r="FF6" t="b">
        <v>1</v>
      </c>
      <c r="FG6" t="b">
        <v>1</v>
      </c>
      <c r="FH6" t="b">
        <v>1</v>
      </c>
      <c r="FI6" t="b">
        <v>1</v>
      </c>
      <c r="FJ6" t="b">
        <v>1</v>
      </c>
      <c r="FK6" t="b">
        <v>1</v>
      </c>
      <c r="FL6" t="b">
        <v>1</v>
      </c>
      <c r="FM6" t="b">
        <v>1</v>
      </c>
      <c r="FN6" t="b">
        <v>1</v>
      </c>
      <c r="FO6" t="b">
        <v>1</v>
      </c>
      <c r="FP6" t="b">
        <v>1</v>
      </c>
      <c r="FQ6" t="b">
        <v>1</v>
      </c>
      <c r="FR6" t="b">
        <v>1</v>
      </c>
      <c r="FS6" t="b">
        <v>1</v>
      </c>
      <c r="FT6" t="b">
        <v>1</v>
      </c>
      <c r="FU6" t="b">
        <v>1</v>
      </c>
      <c r="FV6" t="b">
        <v>1</v>
      </c>
      <c r="FW6" t="b">
        <v>1</v>
      </c>
      <c r="FX6" t="b">
        <v>1</v>
      </c>
      <c r="FY6" t="b">
        <v>1</v>
      </c>
      <c r="FZ6" t="b">
        <v>1</v>
      </c>
      <c r="GA6" t="b">
        <v>1</v>
      </c>
      <c r="GB6" t="b">
        <v>1</v>
      </c>
      <c r="GC6" t="b">
        <v>1</v>
      </c>
      <c r="GD6" t="b">
        <v>1</v>
      </c>
      <c r="GE6" t="b">
        <v>1</v>
      </c>
      <c r="GF6" t="b">
        <v>1</v>
      </c>
      <c r="GG6" t="b">
        <v>1</v>
      </c>
      <c r="GH6" t="b">
        <v>1</v>
      </c>
      <c r="GI6" t="b">
        <v>1</v>
      </c>
      <c r="GJ6" t="b">
        <v>1</v>
      </c>
      <c r="GK6" t="b">
        <v>1</v>
      </c>
      <c r="GL6" t="b">
        <v>1</v>
      </c>
      <c r="GM6" t="b">
        <v>1</v>
      </c>
      <c r="GN6" t="b">
        <v>1</v>
      </c>
      <c r="GO6" t="b">
        <v>1</v>
      </c>
      <c r="GP6" t="b">
        <v>1</v>
      </c>
      <c r="GQ6" t="b">
        <v>1</v>
      </c>
      <c r="GR6" t="b">
        <v>1</v>
      </c>
      <c r="GS6" t="b">
        <v>1</v>
      </c>
      <c r="GT6" t="b">
        <v>1</v>
      </c>
      <c r="GU6" t="b">
        <v>1</v>
      </c>
      <c r="GV6" t="b">
        <v>1</v>
      </c>
      <c r="GW6" t="b">
        <v>1</v>
      </c>
      <c r="GX6" t="b">
        <v>1</v>
      </c>
      <c r="GY6" t="b">
        <v>1</v>
      </c>
      <c r="GZ6" t="b">
        <v>1</v>
      </c>
      <c r="HA6" t="b">
        <v>1</v>
      </c>
      <c r="HB6" t="b">
        <v>1</v>
      </c>
      <c r="HC6" t="b">
        <v>1</v>
      </c>
      <c r="HD6" t="b">
        <v>1</v>
      </c>
      <c r="HE6" t="b">
        <v>1</v>
      </c>
      <c r="HF6" t="b">
        <v>1</v>
      </c>
      <c r="HG6" t="b">
        <v>1</v>
      </c>
      <c r="HH6" t="b">
        <v>1</v>
      </c>
      <c r="HI6" t="b">
        <v>1</v>
      </c>
      <c r="HJ6" t="b">
        <v>1</v>
      </c>
      <c r="HK6" t="b">
        <v>1</v>
      </c>
      <c r="HL6" t="b">
        <v>1</v>
      </c>
      <c r="HM6" t="b">
        <v>1</v>
      </c>
      <c r="HN6" t="b">
        <v>1</v>
      </c>
      <c r="HO6" t="b">
        <v>1</v>
      </c>
      <c r="HP6" t="b">
        <v>1</v>
      </c>
      <c r="HQ6" t="b">
        <v>1</v>
      </c>
      <c r="HR6" t="b">
        <v>1</v>
      </c>
      <c r="HS6" t="b">
        <v>1</v>
      </c>
      <c r="HT6" t="b">
        <v>1</v>
      </c>
      <c r="HU6" t="b">
        <v>1</v>
      </c>
      <c r="HV6" t="b">
        <v>1</v>
      </c>
      <c r="HW6" t="b">
        <v>1</v>
      </c>
      <c r="HX6" t="b">
        <v>1</v>
      </c>
      <c r="HY6" t="b">
        <v>1</v>
      </c>
      <c r="HZ6" t="b">
        <v>1</v>
      </c>
      <c r="IA6" t="b">
        <v>1</v>
      </c>
      <c r="IB6" t="b">
        <v>1</v>
      </c>
      <c r="IC6" t="b">
        <v>1</v>
      </c>
      <c r="ID6" t="b">
        <v>1</v>
      </c>
      <c r="IE6" t="b">
        <v>1</v>
      </c>
      <c r="IF6" t="b">
        <v>1</v>
      </c>
      <c r="IG6" t="b">
        <v>1</v>
      </c>
      <c r="IH6" t="b">
        <v>1</v>
      </c>
      <c r="II6" t="b">
        <v>1</v>
      </c>
      <c r="IJ6" t="b">
        <v>1</v>
      </c>
      <c r="IK6" t="b">
        <v>1</v>
      </c>
      <c r="IL6" t="b">
        <v>1</v>
      </c>
      <c r="IM6" t="b">
        <v>1</v>
      </c>
      <c r="IN6" t="b">
        <v>1</v>
      </c>
      <c r="IO6" t="b">
        <v>1</v>
      </c>
      <c r="IP6" t="b">
        <v>1</v>
      </c>
      <c r="IQ6" t="b">
        <v>1</v>
      </c>
      <c r="IR6" t="b">
        <v>0</v>
      </c>
      <c r="IS6" t="b">
        <v>1</v>
      </c>
      <c r="IT6" t="b">
        <v>1</v>
      </c>
      <c r="IU6" t="b">
        <v>1</v>
      </c>
      <c r="IV6" t="b">
        <v>1</v>
      </c>
      <c r="IW6" t="b">
        <v>1</v>
      </c>
      <c r="IX6" t="b">
        <v>1</v>
      </c>
      <c r="IY6" t="b">
        <v>1</v>
      </c>
      <c r="IZ6" t="b">
        <v>1</v>
      </c>
      <c r="JA6" t="b">
        <v>1</v>
      </c>
      <c r="JB6" t="b">
        <v>1</v>
      </c>
      <c r="JC6" t="b">
        <v>1</v>
      </c>
      <c r="JD6" t="b">
        <v>1</v>
      </c>
      <c r="JE6" t="b">
        <v>1</v>
      </c>
      <c r="JF6" t="b">
        <v>1</v>
      </c>
      <c r="JG6" t="b">
        <v>1</v>
      </c>
      <c r="JH6" t="b">
        <v>1</v>
      </c>
      <c r="JI6" t="b">
        <v>1</v>
      </c>
      <c r="JJ6" t="b">
        <v>1</v>
      </c>
      <c r="JK6" t="b">
        <v>1</v>
      </c>
      <c r="JL6" t="b">
        <v>1</v>
      </c>
      <c r="JM6" t="b">
        <v>1</v>
      </c>
      <c r="JN6" t="b">
        <v>1</v>
      </c>
      <c r="JO6" t="b">
        <v>1</v>
      </c>
      <c r="JP6" t="b">
        <v>1</v>
      </c>
      <c r="JQ6" t="b">
        <v>1</v>
      </c>
      <c r="JR6" t="b">
        <v>1</v>
      </c>
      <c r="JS6" t="b">
        <v>1</v>
      </c>
      <c r="JT6" t="b">
        <v>1</v>
      </c>
      <c r="JU6" t="b">
        <v>1</v>
      </c>
      <c r="JV6" t="b">
        <v>1</v>
      </c>
      <c r="JW6" t="b">
        <v>1</v>
      </c>
      <c r="JX6" t="b">
        <v>1</v>
      </c>
      <c r="JY6" t="b">
        <v>1</v>
      </c>
      <c r="JZ6" t="b">
        <v>1</v>
      </c>
      <c r="KA6" t="b">
        <v>0</v>
      </c>
      <c r="KB6" t="b">
        <v>1</v>
      </c>
      <c r="KC6" t="b">
        <v>1</v>
      </c>
      <c r="KD6" t="b">
        <v>1</v>
      </c>
      <c r="KE6" t="b">
        <v>1</v>
      </c>
      <c r="KF6" t="b">
        <v>0</v>
      </c>
      <c r="KG6" t="b">
        <v>1</v>
      </c>
      <c r="KH6" t="b">
        <v>1</v>
      </c>
      <c r="KI6" t="b">
        <v>0</v>
      </c>
      <c r="KJ6" t="b">
        <v>0</v>
      </c>
      <c r="KK6" t="b">
        <v>0</v>
      </c>
      <c r="KL6" t="b">
        <v>0</v>
      </c>
      <c r="KM6" t="b">
        <v>0</v>
      </c>
      <c r="KN6" t="b">
        <v>0</v>
      </c>
      <c r="KO6" t="b">
        <v>0</v>
      </c>
      <c r="KP6" t="b">
        <v>0</v>
      </c>
      <c r="KQ6" t="b">
        <v>0</v>
      </c>
      <c r="KR6" t="b">
        <v>0</v>
      </c>
      <c r="KS6" t="b">
        <v>0</v>
      </c>
      <c r="KT6" t="b">
        <v>0</v>
      </c>
      <c r="KU6" t="b">
        <v>0</v>
      </c>
      <c r="KV6" t="b">
        <v>0</v>
      </c>
      <c r="KW6" t="b">
        <v>0</v>
      </c>
      <c r="KX6" t="b">
        <v>0</v>
      </c>
      <c r="KY6" t="b">
        <v>0</v>
      </c>
      <c r="KZ6" t="b">
        <v>0</v>
      </c>
      <c r="LA6" t="b">
        <v>0</v>
      </c>
      <c r="LB6" t="b">
        <v>1</v>
      </c>
      <c r="LC6" t="b">
        <v>1</v>
      </c>
      <c r="LD6" t="b">
        <v>1</v>
      </c>
      <c r="LE6" t="b">
        <v>1</v>
      </c>
      <c r="LF6" t="b">
        <v>1</v>
      </c>
      <c r="LG6" t="b">
        <v>1</v>
      </c>
      <c r="LH6" t="b">
        <v>1</v>
      </c>
      <c r="LI6" t="b">
        <v>1</v>
      </c>
      <c r="LJ6" t="b">
        <v>1</v>
      </c>
      <c r="LK6" t="b">
        <v>1</v>
      </c>
      <c r="LL6" t="b">
        <v>1</v>
      </c>
      <c r="LM6" t="b">
        <v>1</v>
      </c>
      <c r="LN6" t="b">
        <v>1</v>
      </c>
      <c r="LO6" t="b">
        <v>1</v>
      </c>
      <c r="LP6" t="b">
        <v>1</v>
      </c>
      <c r="LQ6" t="b">
        <v>1</v>
      </c>
      <c r="LR6" t="b">
        <v>1</v>
      </c>
      <c r="LS6" t="b">
        <v>1</v>
      </c>
      <c r="LT6" t="b">
        <v>1</v>
      </c>
      <c r="LU6" t="b">
        <v>1</v>
      </c>
      <c r="LV6" t="b">
        <v>1</v>
      </c>
      <c r="LW6" t="b">
        <v>1</v>
      </c>
      <c r="LX6" t="b">
        <v>1</v>
      </c>
      <c r="LY6" t="b">
        <v>1</v>
      </c>
      <c r="LZ6" t="b">
        <v>1</v>
      </c>
      <c r="MA6" t="b">
        <v>1</v>
      </c>
      <c r="MB6" t="b">
        <v>1</v>
      </c>
      <c r="MC6" t="b">
        <v>1</v>
      </c>
      <c r="MD6" t="b">
        <v>1</v>
      </c>
      <c r="ME6" t="b">
        <v>1</v>
      </c>
      <c r="MF6" t="b">
        <v>1</v>
      </c>
      <c r="MG6" t="b">
        <v>1</v>
      </c>
      <c r="MH6" t="b">
        <v>0</v>
      </c>
      <c r="MI6" t="b">
        <v>1</v>
      </c>
      <c r="MJ6" t="b">
        <v>1</v>
      </c>
      <c r="MK6" t="b">
        <v>1</v>
      </c>
      <c r="ML6" t="b">
        <v>1</v>
      </c>
      <c r="MM6" t="b">
        <v>1</v>
      </c>
      <c r="MN6" t="b">
        <v>1</v>
      </c>
      <c r="MO6" t="b">
        <v>1</v>
      </c>
      <c r="MP6" t="b">
        <v>1</v>
      </c>
      <c r="MQ6" t="b">
        <v>1</v>
      </c>
      <c r="MR6" t="b">
        <v>1</v>
      </c>
      <c r="MS6" t="b">
        <v>1</v>
      </c>
      <c r="MT6" t="b">
        <v>1</v>
      </c>
      <c r="MU6" t="b">
        <v>1</v>
      </c>
      <c r="MV6" t="b">
        <v>1</v>
      </c>
      <c r="MW6" t="b">
        <v>1</v>
      </c>
      <c r="MX6" t="b">
        <v>1</v>
      </c>
      <c r="MY6" t="b">
        <v>1</v>
      </c>
      <c r="MZ6" t="b">
        <v>1</v>
      </c>
      <c r="NA6" t="b">
        <v>1</v>
      </c>
      <c r="NB6" t="b">
        <v>1</v>
      </c>
      <c r="NC6" t="b">
        <v>1</v>
      </c>
      <c r="ND6" t="b">
        <v>1</v>
      </c>
      <c r="NE6" t="b">
        <v>1</v>
      </c>
      <c r="NF6" t="b">
        <v>1</v>
      </c>
      <c r="NG6" t="b">
        <v>1</v>
      </c>
      <c r="NH6" t="b">
        <v>1</v>
      </c>
      <c r="NI6" t="b">
        <v>1</v>
      </c>
      <c r="NJ6" t="b">
        <v>1</v>
      </c>
      <c r="NK6" t="b">
        <v>1</v>
      </c>
      <c r="NM6" t="s">
        <v>422</v>
      </c>
      <c r="NN6" t="b">
        <v>0</v>
      </c>
    </row>
    <row r="7" spans="1:378" x14ac:dyDescent="0.25">
      <c r="A7" t="b">
        <v>0</v>
      </c>
      <c r="B7" t="b">
        <v>1</v>
      </c>
      <c r="C7" t="b">
        <v>1</v>
      </c>
      <c r="D7" t="b">
        <v>1</v>
      </c>
      <c r="E7" t="b">
        <v>0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0</v>
      </c>
      <c r="L7" t="b">
        <v>1</v>
      </c>
      <c r="M7" t="b">
        <v>1</v>
      </c>
      <c r="N7" t="b">
        <v>1</v>
      </c>
      <c r="O7" t="b">
        <v>1</v>
      </c>
      <c r="P7" t="b">
        <v>1</v>
      </c>
      <c r="Q7" t="b">
        <v>1</v>
      </c>
      <c r="R7" t="b">
        <v>1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  <c r="BG7" t="b">
        <v>1</v>
      </c>
      <c r="BH7" t="b">
        <v>1</v>
      </c>
      <c r="BI7" t="b">
        <v>1</v>
      </c>
      <c r="BJ7" t="b">
        <v>1</v>
      </c>
      <c r="BK7" t="b">
        <v>1</v>
      </c>
      <c r="BL7" t="b">
        <v>1</v>
      </c>
      <c r="BM7" t="b">
        <v>1</v>
      </c>
      <c r="BN7" t="b">
        <v>1</v>
      </c>
      <c r="BO7" t="b">
        <v>1</v>
      </c>
      <c r="BP7" t="b">
        <v>1</v>
      </c>
      <c r="BQ7" t="b">
        <v>1</v>
      </c>
      <c r="BR7" t="b">
        <v>1</v>
      </c>
      <c r="BS7" t="b">
        <v>1</v>
      </c>
      <c r="BT7" t="b">
        <v>1</v>
      </c>
      <c r="BU7" t="b">
        <v>1</v>
      </c>
      <c r="BV7" t="b">
        <v>1</v>
      </c>
      <c r="BW7" t="b">
        <v>1</v>
      </c>
      <c r="BX7" t="b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1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  <c r="CS7" t="b">
        <v>1</v>
      </c>
      <c r="CT7" t="b">
        <v>1</v>
      </c>
      <c r="CU7" t="b">
        <v>1</v>
      </c>
      <c r="CV7" t="b">
        <v>1</v>
      </c>
      <c r="CW7" t="b">
        <v>1</v>
      </c>
      <c r="CX7" t="b">
        <v>1</v>
      </c>
      <c r="CY7" t="b">
        <v>1</v>
      </c>
      <c r="CZ7" t="b">
        <v>1</v>
      </c>
      <c r="DA7" t="b">
        <v>1</v>
      </c>
      <c r="DB7" t="b">
        <v>1</v>
      </c>
      <c r="DC7" t="b">
        <v>1</v>
      </c>
      <c r="DD7" t="b">
        <v>1</v>
      </c>
      <c r="DE7" t="b">
        <v>1</v>
      </c>
      <c r="DF7" t="b">
        <v>1</v>
      </c>
      <c r="DG7" t="b">
        <v>1</v>
      </c>
      <c r="DH7" t="b">
        <v>1</v>
      </c>
      <c r="DI7" t="b">
        <v>1</v>
      </c>
      <c r="DJ7" t="b">
        <v>1</v>
      </c>
      <c r="DK7" t="b">
        <v>1</v>
      </c>
      <c r="DL7" t="b">
        <v>1</v>
      </c>
      <c r="DM7" t="b">
        <v>1</v>
      </c>
      <c r="DN7" t="b">
        <v>1</v>
      </c>
      <c r="DO7" t="b">
        <v>1</v>
      </c>
      <c r="DP7" t="b">
        <v>1</v>
      </c>
      <c r="DQ7" t="b">
        <v>1</v>
      </c>
      <c r="DR7" t="b">
        <v>1</v>
      </c>
      <c r="DS7" t="b">
        <v>1</v>
      </c>
      <c r="DT7" t="b">
        <v>1</v>
      </c>
      <c r="DU7" t="b">
        <v>1</v>
      </c>
      <c r="DV7" t="b">
        <v>1</v>
      </c>
      <c r="DW7" t="b">
        <v>1</v>
      </c>
      <c r="DX7" t="b">
        <v>1</v>
      </c>
      <c r="DY7" t="b">
        <v>1</v>
      </c>
      <c r="DZ7" t="b">
        <v>1</v>
      </c>
      <c r="EA7" t="b">
        <v>1</v>
      </c>
      <c r="EB7" t="b">
        <v>1</v>
      </c>
      <c r="EC7" t="b">
        <v>1</v>
      </c>
      <c r="ED7" t="b">
        <v>1</v>
      </c>
      <c r="EE7" t="b">
        <v>1</v>
      </c>
      <c r="EF7" t="b">
        <v>1</v>
      </c>
      <c r="EG7" t="b">
        <v>1</v>
      </c>
      <c r="EH7" t="b">
        <v>1</v>
      </c>
      <c r="EI7" t="b">
        <v>1</v>
      </c>
      <c r="EJ7" t="b">
        <v>1</v>
      </c>
      <c r="EK7" t="b">
        <v>1</v>
      </c>
      <c r="EL7" t="b">
        <v>1</v>
      </c>
      <c r="EM7" t="b">
        <v>1</v>
      </c>
      <c r="EN7" t="b">
        <v>1</v>
      </c>
      <c r="EO7" t="b">
        <v>1</v>
      </c>
      <c r="EP7" t="b">
        <v>1</v>
      </c>
      <c r="EQ7" t="b">
        <v>1</v>
      </c>
      <c r="ER7" t="b">
        <v>1</v>
      </c>
      <c r="ES7" t="b">
        <v>1</v>
      </c>
      <c r="ET7" t="b">
        <v>1</v>
      </c>
      <c r="EU7" t="b">
        <v>1</v>
      </c>
      <c r="EV7" t="b">
        <v>1</v>
      </c>
      <c r="EW7" t="b">
        <v>1</v>
      </c>
      <c r="EX7" t="b">
        <v>1</v>
      </c>
      <c r="EY7" t="b">
        <v>1</v>
      </c>
      <c r="EZ7" t="b">
        <v>1</v>
      </c>
      <c r="FA7" t="b">
        <v>1</v>
      </c>
      <c r="FB7" t="b">
        <v>1</v>
      </c>
      <c r="FC7" t="b">
        <v>1</v>
      </c>
      <c r="FD7" t="b">
        <v>1</v>
      </c>
      <c r="FE7" t="b">
        <v>1</v>
      </c>
      <c r="FF7" t="b">
        <v>1</v>
      </c>
      <c r="FG7" t="b">
        <v>1</v>
      </c>
      <c r="FH7" t="b">
        <v>1</v>
      </c>
      <c r="FI7" t="b">
        <v>1</v>
      </c>
      <c r="FJ7" t="b">
        <v>1</v>
      </c>
      <c r="FK7" t="b">
        <v>1</v>
      </c>
      <c r="FL7" t="b">
        <v>1</v>
      </c>
      <c r="FM7" t="b">
        <v>1</v>
      </c>
      <c r="FN7" t="b">
        <v>1</v>
      </c>
      <c r="FO7" t="b">
        <v>1</v>
      </c>
      <c r="FP7" t="b">
        <v>1</v>
      </c>
      <c r="FQ7" t="b">
        <v>1</v>
      </c>
      <c r="FR7" t="b">
        <v>1</v>
      </c>
      <c r="FS7" t="b">
        <v>1</v>
      </c>
      <c r="FT7" t="b">
        <v>1</v>
      </c>
      <c r="FU7" t="b">
        <v>1</v>
      </c>
      <c r="FV7" t="b">
        <v>1</v>
      </c>
      <c r="FW7" t="b">
        <v>1</v>
      </c>
      <c r="FX7" t="b">
        <v>1</v>
      </c>
      <c r="FY7" t="b">
        <v>1</v>
      </c>
      <c r="FZ7" t="b">
        <v>1</v>
      </c>
      <c r="GA7" t="b">
        <v>1</v>
      </c>
      <c r="GB7" t="b">
        <v>1</v>
      </c>
      <c r="GC7" t="b">
        <v>1</v>
      </c>
      <c r="GD7" t="b">
        <v>1</v>
      </c>
      <c r="GE7" t="b">
        <v>1</v>
      </c>
      <c r="GF7" t="b">
        <v>1</v>
      </c>
      <c r="GG7" t="b">
        <v>1</v>
      </c>
      <c r="GH7" t="b">
        <v>1</v>
      </c>
      <c r="GI7" t="b">
        <v>1</v>
      </c>
      <c r="GJ7" t="b">
        <v>1</v>
      </c>
      <c r="GK7" t="b">
        <v>1</v>
      </c>
      <c r="GL7" t="b">
        <v>1</v>
      </c>
      <c r="GM7" t="b">
        <v>1</v>
      </c>
      <c r="GN7" t="b">
        <v>1</v>
      </c>
      <c r="GO7" t="b">
        <v>1</v>
      </c>
      <c r="GP7" t="b">
        <v>1</v>
      </c>
      <c r="GQ7" t="b">
        <v>1</v>
      </c>
      <c r="GR7" t="b">
        <v>1</v>
      </c>
      <c r="GS7" t="b">
        <v>1</v>
      </c>
      <c r="GT7" t="b">
        <v>1</v>
      </c>
      <c r="GU7" t="b">
        <v>1</v>
      </c>
      <c r="GV7" t="b">
        <v>1</v>
      </c>
      <c r="GW7" t="b">
        <v>1</v>
      </c>
      <c r="GX7" t="b">
        <v>1</v>
      </c>
      <c r="GY7" t="b">
        <v>1</v>
      </c>
      <c r="GZ7" t="b">
        <v>1</v>
      </c>
      <c r="HA7" t="b">
        <v>1</v>
      </c>
      <c r="HB7" t="b">
        <v>1</v>
      </c>
      <c r="HC7" t="b">
        <v>1</v>
      </c>
      <c r="HD7" t="b">
        <v>1</v>
      </c>
      <c r="HE7" t="b">
        <v>1</v>
      </c>
      <c r="HF7" t="b">
        <v>1</v>
      </c>
      <c r="HG7" t="b">
        <v>1</v>
      </c>
      <c r="HH7" t="b">
        <v>1</v>
      </c>
      <c r="HI7" t="b">
        <v>1</v>
      </c>
      <c r="HJ7" t="b">
        <v>1</v>
      </c>
      <c r="HK7" t="b">
        <v>1</v>
      </c>
      <c r="HL7" t="b">
        <v>1</v>
      </c>
      <c r="HM7" t="b">
        <v>1</v>
      </c>
      <c r="HN7" t="b">
        <v>1</v>
      </c>
      <c r="HO7" t="b">
        <v>1</v>
      </c>
      <c r="HP7" t="b">
        <v>1</v>
      </c>
      <c r="HQ7" t="b">
        <v>1</v>
      </c>
      <c r="HR7" t="b">
        <v>1</v>
      </c>
      <c r="HS7" t="b">
        <v>1</v>
      </c>
      <c r="HT7" t="b">
        <v>1</v>
      </c>
      <c r="HU7" t="b">
        <v>1</v>
      </c>
      <c r="HV7" t="b">
        <v>1</v>
      </c>
      <c r="HW7" t="b">
        <v>1</v>
      </c>
      <c r="HX7" t="b">
        <v>1</v>
      </c>
      <c r="HY7" t="b">
        <v>1</v>
      </c>
      <c r="HZ7" t="b">
        <v>1</v>
      </c>
      <c r="IA7" t="b">
        <v>1</v>
      </c>
      <c r="IB7" t="b">
        <v>1</v>
      </c>
      <c r="IC7" t="b">
        <v>1</v>
      </c>
      <c r="ID7" t="b">
        <v>1</v>
      </c>
      <c r="IE7" t="b">
        <v>1</v>
      </c>
      <c r="IF7" t="b">
        <v>1</v>
      </c>
      <c r="IG7" t="b">
        <v>1</v>
      </c>
      <c r="IH7" t="b">
        <v>1</v>
      </c>
      <c r="II7" t="b">
        <v>1</v>
      </c>
      <c r="IJ7" t="b">
        <v>1</v>
      </c>
      <c r="IK7" t="b">
        <v>1</v>
      </c>
      <c r="IL7" t="b">
        <v>1</v>
      </c>
      <c r="IM7" t="b">
        <v>1</v>
      </c>
      <c r="IN7" t="b">
        <v>1</v>
      </c>
      <c r="IO7" t="b">
        <v>1</v>
      </c>
      <c r="IP7" t="b">
        <v>1</v>
      </c>
      <c r="IQ7" t="b">
        <v>1</v>
      </c>
      <c r="IR7" t="b">
        <v>1</v>
      </c>
      <c r="IS7" t="b">
        <v>1</v>
      </c>
      <c r="IT7" t="b">
        <v>1</v>
      </c>
      <c r="IU7" t="b">
        <v>1</v>
      </c>
      <c r="IV7" t="b">
        <v>1</v>
      </c>
      <c r="IW7" t="b">
        <v>1</v>
      </c>
      <c r="IX7" t="b">
        <v>1</v>
      </c>
      <c r="IY7" t="b">
        <v>1</v>
      </c>
      <c r="IZ7" t="b">
        <v>1</v>
      </c>
      <c r="JA7" t="b">
        <v>1</v>
      </c>
      <c r="JB7" t="b">
        <v>1</v>
      </c>
      <c r="JC7" t="b">
        <v>1</v>
      </c>
      <c r="JD7" t="b">
        <v>1</v>
      </c>
      <c r="JE7" t="b">
        <v>1</v>
      </c>
      <c r="JF7" t="b">
        <v>1</v>
      </c>
      <c r="JG7" t="b">
        <v>1</v>
      </c>
      <c r="JH7" t="b">
        <v>1</v>
      </c>
      <c r="JI7" t="b">
        <v>1</v>
      </c>
      <c r="JJ7" t="b">
        <v>1</v>
      </c>
      <c r="JK7" t="b">
        <v>1</v>
      </c>
      <c r="JL7" t="b">
        <v>1</v>
      </c>
      <c r="JM7" t="b">
        <v>1</v>
      </c>
      <c r="JN7" t="b">
        <v>1</v>
      </c>
      <c r="JO7" t="b">
        <v>1</v>
      </c>
      <c r="JP7" t="b">
        <v>1</v>
      </c>
      <c r="JQ7" t="b">
        <v>1</v>
      </c>
      <c r="JR7" t="b">
        <v>1</v>
      </c>
      <c r="JS7" t="b">
        <v>1</v>
      </c>
      <c r="JT7" t="b">
        <v>1</v>
      </c>
      <c r="JU7" t="b">
        <v>1</v>
      </c>
      <c r="JV7" t="b">
        <v>1</v>
      </c>
      <c r="JW7" t="b">
        <v>1</v>
      </c>
      <c r="JX7" t="b">
        <v>1</v>
      </c>
      <c r="JY7" t="b">
        <v>1</v>
      </c>
      <c r="JZ7" t="b">
        <v>1</v>
      </c>
      <c r="KA7" t="b">
        <v>0</v>
      </c>
      <c r="KB7" t="b">
        <v>0</v>
      </c>
      <c r="KC7" t="b">
        <v>0</v>
      </c>
      <c r="KD7" t="b">
        <v>1</v>
      </c>
      <c r="KE7" t="b">
        <v>1</v>
      </c>
      <c r="KF7" t="b">
        <v>0</v>
      </c>
      <c r="KG7" t="b">
        <v>0</v>
      </c>
      <c r="KH7" t="b">
        <v>0</v>
      </c>
      <c r="KI7" t="b">
        <v>1</v>
      </c>
      <c r="KJ7" t="b">
        <v>1</v>
      </c>
      <c r="KK7" t="b">
        <v>1</v>
      </c>
      <c r="KL7" t="b">
        <v>1</v>
      </c>
      <c r="KM7" t="b">
        <v>1</v>
      </c>
      <c r="KN7" t="b">
        <v>1</v>
      </c>
      <c r="KO7" t="b">
        <v>1</v>
      </c>
      <c r="KP7" t="b">
        <v>1</v>
      </c>
      <c r="KQ7" t="b">
        <v>1</v>
      </c>
      <c r="KR7" t="b">
        <v>1</v>
      </c>
      <c r="KS7" t="b">
        <v>1</v>
      </c>
      <c r="KT7" t="b">
        <v>1</v>
      </c>
      <c r="KU7" t="b">
        <v>1</v>
      </c>
      <c r="KV7" t="b">
        <v>1</v>
      </c>
      <c r="KW7" t="b">
        <v>1</v>
      </c>
      <c r="KX7" t="b">
        <v>1</v>
      </c>
      <c r="KY7" t="b">
        <v>1</v>
      </c>
      <c r="KZ7" t="b">
        <v>1</v>
      </c>
      <c r="LA7" t="b">
        <v>1</v>
      </c>
      <c r="LB7" t="b">
        <v>1</v>
      </c>
      <c r="LC7" t="b">
        <v>1</v>
      </c>
      <c r="LD7" t="b">
        <v>1</v>
      </c>
      <c r="LE7" t="b">
        <v>1</v>
      </c>
      <c r="LF7" t="b">
        <v>1</v>
      </c>
      <c r="LG7" t="b">
        <v>1</v>
      </c>
      <c r="LH7" t="b">
        <v>1</v>
      </c>
      <c r="LI7" t="b">
        <v>1</v>
      </c>
      <c r="LJ7" t="b">
        <v>1</v>
      </c>
      <c r="LK7" t="b">
        <v>1</v>
      </c>
      <c r="LL7" t="b">
        <v>1</v>
      </c>
      <c r="LM7" t="b">
        <v>1</v>
      </c>
      <c r="LN7" t="b">
        <v>1</v>
      </c>
      <c r="LO7" t="b">
        <v>1</v>
      </c>
      <c r="LP7" t="b">
        <v>1</v>
      </c>
      <c r="LQ7" t="b">
        <v>1</v>
      </c>
      <c r="LR7" t="b">
        <v>1</v>
      </c>
      <c r="LS7" t="b">
        <v>1</v>
      </c>
      <c r="LT7" t="b">
        <v>1</v>
      </c>
      <c r="LU7" t="b">
        <v>1</v>
      </c>
      <c r="LV7" t="b">
        <v>1</v>
      </c>
      <c r="LW7" t="b">
        <v>1</v>
      </c>
      <c r="LX7" t="b">
        <v>1</v>
      </c>
      <c r="LY7" t="b">
        <v>1</v>
      </c>
      <c r="LZ7" t="b">
        <v>1</v>
      </c>
      <c r="MA7" t="b">
        <v>1</v>
      </c>
      <c r="MB7" t="b">
        <v>1</v>
      </c>
      <c r="MC7" t="b">
        <v>1</v>
      </c>
      <c r="MD7" t="b">
        <v>1</v>
      </c>
      <c r="ME7" t="b">
        <v>1</v>
      </c>
      <c r="MF7" t="b">
        <v>1</v>
      </c>
      <c r="MG7" t="b">
        <v>1</v>
      </c>
      <c r="MH7" t="b">
        <v>0</v>
      </c>
      <c r="MI7" t="b">
        <v>1</v>
      </c>
      <c r="MJ7" t="b">
        <v>1</v>
      </c>
      <c r="MK7" t="b">
        <v>1</v>
      </c>
      <c r="ML7" t="b">
        <v>1</v>
      </c>
      <c r="MM7" t="b">
        <v>1</v>
      </c>
      <c r="MN7" t="b">
        <v>1</v>
      </c>
      <c r="MO7" t="b">
        <v>1</v>
      </c>
      <c r="MP7" t="b">
        <v>1</v>
      </c>
      <c r="MQ7" t="b">
        <v>1</v>
      </c>
      <c r="MR7" t="b">
        <v>1</v>
      </c>
      <c r="MS7" t="b">
        <v>1</v>
      </c>
      <c r="MT7" t="b">
        <v>1</v>
      </c>
      <c r="MU7" t="b">
        <v>1</v>
      </c>
      <c r="MV7" t="b">
        <v>1</v>
      </c>
      <c r="MW7" t="b">
        <v>1</v>
      </c>
      <c r="MX7" t="b">
        <v>0</v>
      </c>
      <c r="MY7" t="b">
        <v>0</v>
      </c>
      <c r="MZ7" t="b">
        <v>1</v>
      </c>
      <c r="NA7" t="b">
        <v>1</v>
      </c>
      <c r="NB7" t="b">
        <v>1</v>
      </c>
      <c r="NC7" t="b">
        <v>1</v>
      </c>
      <c r="ND7" t="b">
        <v>1</v>
      </c>
      <c r="NE7" t="b">
        <v>1</v>
      </c>
      <c r="NF7" t="b">
        <v>1</v>
      </c>
      <c r="NG7" t="b">
        <v>1</v>
      </c>
      <c r="NH7" t="b">
        <v>1</v>
      </c>
      <c r="NI7" t="b">
        <v>1</v>
      </c>
      <c r="NJ7" t="b">
        <v>0</v>
      </c>
      <c r="NK7" t="b">
        <v>0</v>
      </c>
      <c r="NM7" t="s">
        <v>420</v>
      </c>
      <c r="NN7" t="b">
        <v>0</v>
      </c>
    </row>
    <row r="8" spans="1:378" x14ac:dyDescent="0.25">
      <c r="A8" t="b">
        <v>0</v>
      </c>
      <c r="B8" t="b">
        <v>0</v>
      </c>
      <c r="C8" t="b">
        <v>1</v>
      </c>
      <c r="D8" t="b">
        <v>1</v>
      </c>
      <c r="E8" t="b">
        <v>0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0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1</v>
      </c>
      <c r="AN8" t="b">
        <v>1</v>
      </c>
      <c r="AO8" t="b">
        <v>1</v>
      </c>
      <c r="AP8" t="b">
        <v>1</v>
      </c>
      <c r="AQ8" t="b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  <c r="BG8" t="b">
        <v>1</v>
      </c>
      <c r="BH8" t="b">
        <v>1</v>
      </c>
      <c r="BI8" t="b">
        <v>1</v>
      </c>
      <c r="BJ8" t="b">
        <v>1</v>
      </c>
      <c r="BK8" t="b">
        <v>1</v>
      </c>
      <c r="BL8" t="b">
        <v>1</v>
      </c>
      <c r="BM8" t="b">
        <v>1</v>
      </c>
      <c r="BN8" t="b">
        <v>1</v>
      </c>
      <c r="BO8" t="b">
        <v>1</v>
      </c>
      <c r="BP8" t="b">
        <v>1</v>
      </c>
      <c r="BQ8" t="b">
        <v>1</v>
      </c>
      <c r="BR8" t="b">
        <v>1</v>
      </c>
      <c r="BS8" t="b">
        <v>1</v>
      </c>
      <c r="BT8" t="b">
        <v>1</v>
      </c>
      <c r="BU8" t="b">
        <v>1</v>
      </c>
      <c r="BV8" t="b">
        <v>1</v>
      </c>
      <c r="BW8" t="b">
        <v>1</v>
      </c>
      <c r="BX8" t="b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  <c r="CS8" t="b">
        <v>1</v>
      </c>
      <c r="CT8" t="b">
        <v>1</v>
      </c>
      <c r="CU8" t="b">
        <v>1</v>
      </c>
      <c r="CV8" t="b">
        <v>1</v>
      </c>
      <c r="CW8" t="b">
        <v>1</v>
      </c>
      <c r="CX8" t="b">
        <v>1</v>
      </c>
      <c r="CY8" t="b">
        <v>1</v>
      </c>
      <c r="CZ8" t="b">
        <v>1</v>
      </c>
      <c r="DA8" t="b">
        <v>1</v>
      </c>
      <c r="DB8" t="b">
        <v>1</v>
      </c>
      <c r="DC8" t="b">
        <v>1</v>
      </c>
      <c r="DD8" t="b">
        <v>1</v>
      </c>
      <c r="DE8" t="b">
        <v>1</v>
      </c>
      <c r="DF8" t="b">
        <v>1</v>
      </c>
      <c r="DG8" t="b">
        <v>1</v>
      </c>
      <c r="DH8" t="b">
        <v>1</v>
      </c>
      <c r="DI8" t="b">
        <v>1</v>
      </c>
      <c r="DJ8" t="b">
        <v>1</v>
      </c>
      <c r="DK8" t="b">
        <v>1</v>
      </c>
      <c r="DL8" t="b">
        <v>1</v>
      </c>
      <c r="DM8" t="b">
        <v>1</v>
      </c>
      <c r="DN8" t="b">
        <v>1</v>
      </c>
      <c r="DO8" t="b">
        <v>1</v>
      </c>
      <c r="DP8" t="b">
        <v>1</v>
      </c>
      <c r="DQ8" t="b">
        <v>1</v>
      </c>
      <c r="DR8" t="b">
        <v>1</v>
      </c>
      <c r="DS8" t="b">
        <v>1</v>
      </c>
      <c r="DT8" t="b">
        <v>1</v>
      </c>
      <c r="DU8" t="b">
        <v>1</v>
      </c>
      <c r="DV8" t="b">
        <v>1</v>
      </c>
      <c r="DW8" t="b">
        <v>1</v>
      </c>
      <c r="DX8" t="b">
        <v>1</v>
      </c>
      <c r="DY8" t="b">
        <v>1</v>
      </c>
      <c r="DZ8" t="b">
        <v>1</v>
      </c>
      <c r="EA8" t="b">
        <v>1</v>
      </c>
      <c r="EB8" t="b">
        <v>1</v>
      </c>
      <c r="EC8" t="b">
        <v>1</v>
      </c>
      <c r="ED8" t="b">
        <v>1</v>
      </c>
      <c r="EE8" t="b">
        <v>1</v>
      </c>
      <c r="EF8" t="b">
        <v>1</v>
      </c>
      <c r="EG8" t="b">
        <v>1</v>
      </c>
      <c r="EH8" t="b">
        <v>1</v>
      </c>
      <c r="EI8" t="b">
        <v>1</v>
      </c>
      <c r="EJ8" t="b">
        <v>1</v>
      </c>
      <c r="EK8" t="b">
        <v>1</v>
      </c>
      <c r="EL8" t="b">
        <v>1</v>
      </c>
      <c r="EM8" t="b">
        <v>1</v>
      </c>
      <c r="EN8" t="b">
        <v>1</v>
      </c>
      <c r="EO8" t="b">
        <v>1</v>
      </c>
      <c r="EP8" t="b">
        <v>1</v>
      </c>
      <c r="EQ8" t="b">
        <v>1</v>
      </c>
      <c r="ER8" t="b">
        <v>1</v>
      </c>
      <c r="ES8" t="b">
        <v>1</v>
      </c>
      <c r="ET8" t="b">
        <v>1</v>
      </c>
      <c r="EU8" t="b">
        <v>1</v>
      </c>
      <c r="EV8" t="b">
        <v>1</v>
      </c>
      <c r="EW8" t="b">
        <v>1</v>
      </c>
      <c r="EX8" t="b">
        <v>1</v>
      </c>
      <c r="EY8" t="b">
        <v>1</v>
      </c>
      <c r="EZ8" t="b">
        <v>1</v>
      </c>
      <c r="FA8" t="b">
        <v>1</v>
      </c>
      <c r="FB8" t="b">
        <v>1</v>
      </c>
      <c r="FC8" t="b">
        <v>1</v>
      </c>
      <c r="FD8" t="b">
        <v>1</v>
      </c>
      <c r="FE8" t="b">
        <v>1</v>
      </c>
      <c r="FF8" t="b">
        <v>1</v>
      </c>
      <c r="FG8" t="b">
        <v>1</v>
      </c>
      <c r="FH8" t="b">
        <v>1</v>
      </c>
      <c r="FI8" t="b">
        <v>1</v>
      </c>
      <c r="FJ8" t="b">
        <v>1</v>
      </c>
      <c r="FK8" t="b">
        <v>1</v>
      </c>
      <c r="FL8" t="b">
        <v>1</v>
      </c>
      <c r="FM8" t="b">
        <v>1</v>
      </c>
      <c r="FN8" t="b">
        <v>1</v>
      </c>
      <c r="FO8" t="b">
        <v>1</v>
      </c>
      <c r="FP8" t="b">
        <v>1</v>
      </c>
      <c r="FQ8" t="b">
        <v>1</v>
      </c>
      <c r="FR8" t="b">
        <v>1</v>
      </c>
      <c r="FS8" t="b">
        <v>1</v>
      </c>
      <c r="FT8" t="b">
        <v>1</v>
      </c>
      <c r="FU8" t="b">
        <v>1</v>
      </c>
      <c r="FV8" t="b">
        <v>1</v>
      </c>
      <c r="FW8" t="b">
        <v>1</v>
      </c>
      <c r="FX8" t="b">
        <v>1</v>
      </c>
      <c r="FY8" t="b">
        <v>1</v>
      </c>
      <c r="FZ8" t="b">
        <v>1</v>
      </c>
      <c r="GA8" t="b">
        <v>1</v>
      </c>
      <c r="GB8" t="b">
        <v>1</v>
      </c>
      <c r="GC8" t="b">
        <v>1</v>
      </c>
      <c r="GD8" t="b">
        <v>1</v>
      </c>
      <c r="GE8" t="b">
        <v>1</v>
      </c>
      <c r="GF8" t="b">
        <v>1</v>
      </c>
      <c r="GG8" t="b">
        <v>1</v>
      </c>
      <c r="GH8" t="b">
        <v>1</v>
      </c>
      <c r="GI8" t="b">
        <v>1</v>
      </c>
      <c r="GJ8" t="b">
        <v>1</v>
      </c>
      <c r="GK8" t="b">
        <v>1</v>
      </c>
      <c r="GL8" t="b">
        <v>1</v>
      </c>
      <c r="GM8" t="b">
        <v>1</v>
      </c>
      <c r="GN8" t="b">
        <v>1</v>
      </c>
      <c r="GO8" t="b">
        <v>1</v>
      </c>
      <c r="GP8" t="b">
        <v>1</v>
      </c>
      <c r="GQ8" t="b">
        <v>1</v>
      </c>
      <c r="GR8" t="b">
        <v>1</v>
      </c>
      <c r="GS8" t="b">
        <v>1</v>
      </c>
      <c r="GT8" t="b">
        <v>1</v>
      </c>
      <c r="GU8" t="b">
        <v>1</v>
      </c>
      <c r="GV8" t="b">
        <v>1</v>
      </c>
      <c r="GW8" t="b">
        <v>1</v>
      </c>
      <c r="GX8" t="b">
        <v>1</v>
      </c>
      <c r="GY8" t="b">
        <v>1</v>
      </c>
      <c r="GZ8" t="b">
        <v>1</v>
      </c>
      <c r="HA8" t="b">
        <v>1</v>
      </c>
      <c r="HB8" t="b">
        <v>1</v>
      </c>
      <c r="HC8" t="b">
        <v>1</v>
      </c>
      <c r="HD8" t="b">
        <v>1</v>
      </c>
      <c r="HE8" t="b">
        <v>1</v>
      </c>
      <c r="HF8" t="b">
        <v>1</v>
      </c>
      <c r="HG8" t="b">
        <v>1</v>
      </c>
      <c r="HH8" t="b">
        <v>1</v>
      </c>
      <c r="HI8" t="b">
        <v>1</v>
      </c>
      <c r="HJ8" t="b">
        <v>1</v>
      </c>
      <c r="HK8" t="b">
        <v>1</v>
      </c>
      <c r="HL8" t="b">
        <v>1</v>
      </c>
      <c r="HM8" t="b">
        <v>1</v>
      </c>
      <c r="HN8" t="b">
        <v>1</v>
      </c>
      <c r="HO8" t="b">
        <v>1</v>
      </c>
      <c r="HP8" t="b">
        <v>1</v>
      </c>
      <c r="HQ8" t="b">
        <v>1</v>
      </c>
      <c r="HR8" t="b">
        <v>1</v>
      </c>
      <c r="HS8" t="b">
        <v>1</v>
      </c>
      <c r="HT8" t="b">
        <v>1</v>
      </c>
      <c r="HU8" t="b">
        <v>1</v>
      </c>
      <c r="HV8" t="b">
        <v>1</v>
      </c>
      <c r="HW8" t="b">
        <v>1</v>
      </c>
      <c r="HX8" t="b">
        <v>1</v>
      </c>
      <c r="HY8" t="b">
        <v>1</v>
      </c>
      <c r="HZ8" t="b">
        <v>1</v>
      </c>
      <c r="IA8" t="b">
        <v>1</v>
      </c>
      <c r="IB8" t="b">
        <v>1</v>
      </c>
      <c r="IC8" t="b">
        <v>1</v>
      </c>
      <c r="ID8" t="b">
        <v>1</v>
      </c>
      <c r="IE8" t="b">
        <v>1</v>
      </c>
      <c r="IF8" t="b">
        <v>1</v>
      </c>
      <c r="IG8" t="b">
        <v>1</v>
      </c>
      <c r="IH8" t="b">
        <v>1</v>
      </c>
      <c r="II8" t="b">
        <v>1</v>
      </c>
      <c r="IJ8" t="b">
        <v>1</v>
      </c>
      <c r="IK8" t="b">
        <v>1</v>
      </c>
      <c r="IL8" t="b">
        <v>1</v>
      </c>
      <c r="IM8" t="b">
        <v>1</v>
      </c>
      <c r="IN8" t="b">
        <v>1</v>
      </c>
      <c r="IO8" t="b">
        <v>1</v>
      </c>
      <c r="IP8" t="b">
        <v>1</v>
      </c>
      <c r="IQ8" t="b">
        <v>1</v>
      </c>
      <c r="IR8" t="b">
        <v>1</v>
      </c>
      <c r="IS8" t="b">
        <v>1</v>
      </c>
      <c r="IT8" t="b">
        <v>1</v>
      </c>
      <c r="IU8" t="b">
        <v>1</v>
      </c>
      <c r="IV8" t="b">
        <v>1</v>
      </c>
      <c r="IW8" t="b">
        <v>1</v>
      </c>
      <c r="IX8" t="b">
        <v>1</v>
      </c>
      <c r="IY8" t="b">
        <v>1</v>
      </c>
      <c r="IZ8" t="b">
        <v>1</v>
      </c>
      <c r="JA8" t="b">
        <v>1</v>
      </c>
      <c r="JB8" t="b">
        <v>1</v>
      </c>
      <c r="JC8" t="b">
        <v>1</v>
      </c>
      <c r="JD8" t="b">
        <v>1</v>
      </c>
      <c r="JE8" t="b">
        <v>1</v>
      </c>
      <c r="JF8" t="b">
        <v>1</v>
      </c>
      <c r="JG8" t="b">
        <v>1</v>
      </c>
      <c r="JH8" t="b">
        <v>1</v>
      </c>
      <c r="JI8" t="b">
        <v>1</v>
      </c>
      <c r="JJ8" t="b">
        <v>1</v>
      </c>
      <c r="JK8" t="b">
        <v>1</v>
      </c>
      <c r="JL8" t="b">
        <v>1</v>
      </c>
      <c r="JM8" t="b">
        <v>1</v>
      </c>
      <c r="JN8" t="b">
        <v>1</v>
      </c>
      <c r="JO8" t="b">
        <v>1</v>
      </c>
      <c r="JP8" t="b">
        <v>1</v>
      </c>
      <c r="JQ8" t="b">
        <v>1</v>
      </c>
      <c r="JR8" t="b">
        <v>1</v>
      </c>
      <c r="JS8" t="b">
        <v>1</v>
      </c>
      <c r="JT8" t="b">
        <v>1</v>
      </c>
      <c r="JU8" t="b">
        <v>1</v>
      </c>
      <c r="JV8" t="b">
        <v>1</v>
      </c>
      <c r="JW8" t="b">
        <v>1</v>
      </c>
      <c r="JX8" t="b">
        <v>1</v>
      </c>
      <c r="JY8" t="b">
        <v>1</v>
      </c>
      <c r="JZ8" t="b">
        <v>1</v>
      </c>
      <c r="KA8" t="b">
        <v>0</v>
      </c>
      <c r="KB8" t="b">
        <v>1</v>
      </c>
      <c r="KC8" t="b">
        <v>0</v>
      </c>
      <c r="KD8" t="b">
        <v>1</v>
      </c>
      <c r="KE8" t="b">
        <v>1</v>
      </c>
      <c r="KF8" t="b">
        <v>0</v>
      </c>
      <c r="KG8" t="b">
        <v>1</v>
      </c>
      <c r="KH8" t="b">
        <v>0</v>
      </c>
      <c r="KI8" t="b">
        <v>0</v>
      </c>
      <c r="KJ8" t="b">
        <v>0</v>
      </c>
      <c r="KK8" t="b">
        <v>0</v>
      </c>
      <c r="KL8" t="b">
        <v>0</v>
      </c>
      <c r="KM8" t="b">
        <v>0</v>
      </c>
      <c r="KN8" t="b">
        <v>0</v>
      </c>
      <c r="KO8" t="b">
        <v>0</v>
      </c>
      <c r="KP8" t="b">
        <v>0</v>
      </c>
      <c r="KQ8" t="b">
        <v>0</v>
      </c>
      <c r="KR8" t="b">
        <v>0</v>
      </c>
      <c r="KS8" t="b">
        <v>0</v>
      </c>
      <c r="KT8" t="b">
        <v>0</v>
      </c>
      <c r="KU8" t="b">
        <v>0</v>
      </c>
      <c r="KV8" t="b">
        <v>0</v>
      </c>
      <c r="KW8" t="b">
        <v>0</v>
      </c>
      <c r="KX8" t="b">
        <v>0</v>
      </c>
      <c r="KY8" t="b">
        <v>0</v>
      </c>
      <c r="KZ8" t="b">
        <v>0</v>
      </c>
      <c r="LA8" t="b">
        <v>0</v>
      </c>
      <c r="LB8" t="b">
        <v>1</v>
      </c>
      <c r="LC8" t="b">
        <v>1</v>
      </c>
      <c r="LD8" t="b">
        <v>1</v>
      </c>
      <c r="LE8" t="b">
        <v>1</v>
      </c>
      <c r="LF8" t="b">
        <v>1</v>
      </c>
      <c r="LG8" t="b">
        <v>1</v>
      </c>
      <c r="LH8" t="b">
        <v>1</v>
      </c>
      <c r="LI8" t="b">
        <v>1</v>
      </c>
      <c r="LJ8" t="b">
        <v>1</v>
      </c>
      <c r="LK8" t="b">
        <v>1</v>
      </c>
      <c r="LL8" t="b">
        <v>1</v>
      </c>
      <c r="LM8" t="b">
        <v>1</v>
      </c>
      <c r="LN8" t="b">
        <v>1</v>
      </c>
      <c r="LO8" t="b">
        <v>1</v>
      </c>
      <c r="LP8" t="b">
        <v>1</v>
      </c>
      <c r="LQ8" t="b">
        <v>1</v>
      </c>
      <c r="LR8" t="b">
        <v>1</v>
      </c>
      <c r="LS8" t="b">
        <v>1</v>
      </c>
      <c r="LT8" t="b">
        <v>1</v>
      </c>
      <c r="LU8" t="b">
        <v>1</v>
      </c>
      <c r="LV8" t="b">
        <v>1</v>
      </c>
      <c r="LW8" t="b">
        <v>1</v>
      </c>
      <c r="LX8" t="b">
        <v>1</v>
      </c>
      <c r="LY8" t="b">
        <v>1</v>
      </c>
      <c r="LZ8" t="b">
        <v>1</v>
      </c>
      <c r="MA8" t="b">
        <v>1</v>
      </c>
      <c r="MB8" t="b">
        <v>1</v>
      </c>
      <c r="MC8" t="b">
        <v>1</v>
      </c>
      <c r="MD8" t="b">
        <v>1</v>
      </c>
      <c r="ME8" t="b">
        <v>1</v>
      </c>
      <c r="MF8" t="b">
        <v>1</v>
      </c>
      <c r="MG8" t="b">
        <v>1</v>
      </c>
      <c r="MH8" t="b">
        <v>0</v>
      </c>
      <c r="MI8" t="b">
        <v>1</v>
      </c>
      <c r="MJ8" t="b">
        <v>1</v>
      </c>
      <c r="MK8" t="b">
        <v>1</v>
      </c>
      <c r="ML8" t="b">
        <v>1</v>
      </c>
      <c r="MM8" t="b">
        <v>1</v>
      </c>
      <c r="MN8" t="b">
        <v>1</v>
      </c>
      <c r="MO8" t="b">
        <v>1</v>
      </c>
      <c r="MP8" t="b">
        <v>1</v>
      </c>
      <c r="MQ8" t="b">
        <v>1</v>
      </c>
      <c r="MR8" t="b">
        <v>1</v>
      </c>
      <c r="MS8" t="b">
        <v>1</v>
      </c>
      <c r="MT8" t="b">
        <v>1</v>
      </c>
      <c r="MU8" t="b">
        <v>1</v>
      </c>
      <c r="MV8" t="b">
        <v>1</v>
      </c>
      <c r="MW8" t="b">
        <v>1</v>
      </c>
      <c r="MX8" t="b">
        <v>0</v>
      </c>
      <c r="MY8" t="b">
        <v>1</v>
      </c>
      <c r="MZ8" t="b">
        <v>1</v>
      </c>
      <c r="NA8" t="b">
        <v>1</v>
      </c>
      <c r="NB8" t="b">
        <v>1</v>
      </c>
      <c r="NC8" t="b">
        <v>1</v>
      </c>
      <c r="ND8" t="b">
        <v>1</v>
      </c>
      <c r="NE8" t="b">
        <v>1</v>
      </c>
      <c r="NF8" t="b">
        <v>1</v>
      </c>
      <c r="NG8" t="b">
        <v>1</v>
      </c>
      <c r="NH8" t="b">
        <v>1</v>
      </c>
      <c r="NI8" t="b">
        <v>1</v>
      </c>
      <c r="NJ8" t="b">
        <v>0</v>
      </c>
      <c r="NK8" t="b">
        <v>0</v>
      </c>
      <c r="NM8" t="s">
        <v>462</v>
      </c>
      <c r="NN8" t="b">
        <v>0</v>
      </c>
    </row>
    <row r="9" spans="1:378" x14ac:dyDescent="0.25">
      <c r="A9" t="b">
        <v>0</v>
      </c>
      <c r="B9" t="b">
        <v>0</v>
      </c>
      <c r="C9" t="b">
        <v>1</v>
      </c>
      <c r="D9" t="b">
        <v>1</v>
      </c>
      <c r="E9" t="b">
        <v>0</v>
      </c>
      <c r="F9" t="b">
        <v>1</v>
      </c>
      <c r="G9" t="b">
        <v>1</v>
      </c>
      <c r="H9" t="b">
        <v>1</v>
      </c>
      <c r="I9" t="b">
        <v>1</v>
      </c>
      <c r="J9" t="b">
        <v>1</v>
      </c>
      <c r="K9" t="b">
        <v>0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1</v>
      </c>
      <c r="AN9" t="b">
        <v>1</v>
      </c>
      <c r="AO9" t="b">
        <v>1</v>
      </c>
      <c r="AP9" t="b">
        <v>1</v>
      </c>
      <c r="AQ9" t="b">
        <v>1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  <c r="BG9" t="b">
        <v>1</v>
      </c>
      <c r="BH9" t="b">
        <v>1</v>
      </c>
      <c r="BI9" t="b">
        <v>1</v>
      </c>
      <c r="BJ9" t="b">
        <v>1</v>
      </c>
      <c r="BK9" t="b">
        <v>1</v>
      </c>
      <c r="BL9" t="b">
        <v>1</v>
      </c>
      <c r="BM9" t="b">
        <v>1</v>
      </c>
      <c r="BN9" t="b">
        <v>1</v>
      </c>
      <c r="BO9" t="b">
        <v>1</v>
      </c>
      <c r="BP9" t="b">
        <v>1</v>
      </c>
      <c r="BQ9" t="b">
        <v>1</v>
      </c>
      <c r="BR9" t="b">
        <v>1</v>
      </c>
      <c r="BS9" t="b">
        <v>1</v>
      </c>
      <c r="BT9" t="b">
        <v>1</v>
      </c>
      <c r="BU9" t="b">
        <v>1</v>
      </c>
      <c r="BV9" t="b">
        <v>1</v>
      </c>
      <c r="BW9" t="b">
        <v>1</v>
      </c>
      <c r="BX9" t="b">
        <v>1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  <c r="CS9" t="b">
        <v>1</v>
      </c>
      <c r="CT9" t="b">
        <v>1</v>
      </c>
      <c r="CU9" t="b">
        <v>1</v>
      </c>
      <c r="CV9" t="b">
        <v>1</v>
      </c>
      <c r="CW9" t="b">
        <v>1</v>
      </c>
      <c r="CX9" t="b">
        <v>1</v>
      </c>
      <c r="CY9" t="b">
        <v>1</v>
      </c>
      <c r="CZ9" t="b">
        <v>1</v>
      </c>
      <c r="DA9" t="b">
        <v>1</v>
      </c>
      <c r="DB9" t="b">
        <v>1</v>
      </c>
      <c r="DC9" t="b">
        <v>1</v>
      </c>
      <c r="DD9" t="b">
        <v>1</v>
      </c>
      <c r="DE9" t="b">
        <v>1</v>
      </c>
      <c r="DF9" t="b">
        <v>1</v>
      </c>
      <c r="DG9" t="b">
        <v>1</v>
      </c>
      <c r="DH9" t="b">
        <v>1</v>
      </c>
      <c r="DI9" t="b">
        <v>1</v>
      </c>
      <c r="DJ9" t="b">
        <v>1</v>
      </c>
      <c r="DK9" t="b">
        <v>1</v>
      </c>
      <c r="DL9" t="b">
        <v>1</v>
      </c>
      <c r="DM9" t="b">
        <v>1</v>
      </c>
      <c r="DN9" t="b">
        <v>1</v>
      </c>
      <c r="DO9" t="b">
        <v>1</v>
      </c>
      <c r="DP9" t="b">
        <v>1</v>
      </c>
      <c r="DQ9" t="b">
        <v>1</v>
      </c>
      <c r="DR9" t="b">
        <v>1</v>
      </c>
      <c r="DS9" t="b">
        <v>1</v>
      </c>
      <c r="DT9" t="b">
        <v>1</v>
      </c>
      <c r="DU9" t="b">
        <v>1</v>
      </c>
      <c r="DV9" t="b">
        <v>1</v>
      </c>
      <c r="DW9" t="b">
        <v>1</v>
      </c>
      <c r="DX9" t="b">
        <v>1</v>
      </c>
      <c r="DY9" t="b">
        <v>1</v>
      </c>
      <c r="DZ9" t="b">
        <v>1</v>
      </c>
      <c r="EA9" t="b">
        <v>1</v>
      </c>
      <c r="EB9" t="b">
        <v>1</v>
      </c>
      <c r="EC9" t="b">
        <v>1</v>
      </c>
      <c r="ED9" t="b">
        <v>1</v>
      </c>
      <c r="EE9" t="b">
        <v>1</v>
      </c>
      <c r="EF9" t="b">
        <v>1</v>
      </c>
      <c r="EG9" t="b">
        <v>1</v>
      </c>
      <c r="EH9" t="b">
        <v>1</v>
      </c>
      <c r="EI9" t="b">
        <v>1</v>
      </c>
      <c r="EJ9" t="b">
        <v>1</v>
      </c>
      <c r="EK9" t="b">
        <v>1</v>
      </c>
      <c r="EL9" t="b">
        <v>1</v>
      </c>
      <c r="EM9" t="b">
        <v>1</v>
      </c>
      <c r="EN9" t="b">
        <v>1</v>
      </c>
      <c r="EO9" t="b">
        <v>1</v>
      </c>
      <c r="EP9" t="b">
        <v>1</v>
      </c>
      <c r="EQ9" t="b">
        <v>1</v>
      </c>
      <c r="ER9" t="b">
        <v>1</v>
      </c>
      <c r="ES9" t="b">
        <v>1</v>
      </c>
      <c r="ET9" t="b">
        <v>1</v>
      </c>
      <c r="EU9" t="b">
        <v>1</v>
      </c>
      <c r="EV9" t="b">
        <v>1</v>
      </c>
      <c r="EW9" t="b">
        <v>1</v>
      </c>
      <c r="EX9" t="b">
        <v>1</v>
      </c>
      <c r="EY9" t="b">
        <v>1</v>
      </c>
      <c r="EZ9" t="b">
        <v>1</v>
      </c>
      <c r="FA9" t="b">
        <v>1</v>
      </c>
      <c r="FB9" t="b">
        <v>1</v>
      </c>
      <c r="FC9" t="b">
        <v>1</v>
      </c>
      <c r="FD9" t="b">
        <v>1</v>
      </c>
      <c r="FE9" t="b">
        <v>1</v>
      </c>
      <c r="FF9" t="b">
        <v>1</v>
      </c>
      <c r="FG9" t="b">
        <v>1</v>
      </c>
      <c r="FH9" t="b">
        <v>1</v>
      </c>
      <c r="FI9" t="b">
        <v>1</v>
      </c>
      <c r="FJ9" t="b">
        <v>1</v>
      </c>
      <c r="FK9" t="b">
        <v>1</v>
      </c>
      <c r="FL9" t="b">
        <v>1</v>
      </c>
      <c r="FM9" t="b">
        <v>1</v>
      </c>
      <c r="FN9" t="b">
        <v>1</v>
      </c>
      <c r="FO9" t="b">
        <v>1</v>
      </c>
      <c r="FP9" t="b">
        <v>1</v>
      </c>
      <c r="FQ9" t="b">
        <v>1</v>
      </c>
      <c r="FR9" t="b">
        <v>1</v>
      </c>
      <c r="FS9" t="b">
        <v>1</v>
      </c>
      <c r="FT9" t="b">
        <v>1</v>
      </c>
      <c r="FU9" t="b">
        <v>1</v>
      </c>
      <c r="FV9" t="b">
        <v>1</v>
      </c>
      <c r="FW9" t="b">
        <v>1</v>
      </c>
      <c r="FX9" t="b">
        <v>1</v>
      </c>
      <c r="FY9" t="b">
        <v>1</v>
      </c>
      <c r="FZ9" t="b">
        <v>1</v>
      </c>
      <c r="GA9" t="b">
        <v>1</v>
      </c>
      <c r="GB9" t="b">
        <v>1</v>
      </c>
      <c r="GC9" t="b">
        <v>1</v>
      </c>
      <c r="GD9" t="b">
        <v>1</v>
      </c>
      <c r="GE9" t="b">
        <v>1</v>
      </c>
      <c r="GF9" t="b">
        <v>1</v>
      </c>
      <c r="GG9" t="b">
        <v>1</v>
      </c>
      <c r="GH9" t="b">
        <v>1</v>
      </c>
      <c r="GI9" t="b">
        <v>1</v>
      </c>
      <c r="GJ9" t="b">
        <v>1</v>
      </c>
      <c r="GK9" t="b">
        <v>1</v>
      </c>
      <c r="GL9" t="b">
        <v>1</v>
      </c>
      <c r="GM9" t="b">
        <v>1</v>
      </c>
      <c r="GN9" t="b">
        <v>1</v>
      </c>
      <c r="GO9" t="b">
        <v>1</v>
      </c>
      <c r="GP9" t="b">
        <v>1</v>
      </c>
      <c r="GQ9" t="b">
        <v>1</v>
      </c>
      <c r="GR9" t="b">
        <v>1</v>
      </c>
      <c r="GS9" t="b">
        <v>1</v>
      </c>
      <c r="GT9" t="b">
        <v>1</v>
      </c>
      <c r="GU9" t="b">
        <v>1</v>
      </c>
      <c r="GV9" t="b">
        <v>1</v>
      </c>
      <c r="GW9" t="b">
        <v>1</v>
      </c>
      <c r="GX9" t="b">
        <v>1</v>
      </c>
      <c r="GY9" t="b">
        <v>1</v>
      </c>
      <c r="GZ9" t="b">
        <v>1</v>
      </c>
      <c r="HA9" t="b">
        <v>1</v>
      </c>
      <c r="HB9" t="b">
        <v>1</v>
      </c>
      <c r="HC9" t="b">
        <v>1</v>
      </c>
      <c r="HD9" t="b">
        <v>1</v>
      </c>
      <c r="HE9" t="b">
        <v>1</v>
      </c>
      <c r="HF9" t="b">
        <v>1</v>
      </c>
      <c r="HG9" t="b">
        <v>1</v>
      </c>
      <c r="HH9" t="b">
        <v>1</v>
      </c>
      <c r="HI9" t="b">
        <v>1</v>
      </c>
      <c r="HJ9" t="b">
        <v>1</v>
      </c>
      <c r="HK9" t="b">
        <v>1</v>
      </c>
      <c r="HL9" t="b">
        <v>1</v>
      </c>
      <c r="HM9" t="b">
        <v>1</v>
      </c>
      <c r="HN9" t="b">
        <v>1</v>
      </c>
      <c r="HO9" t="b">
        <v>1</v>
      </c>
      <c r="HP9" t="b">
        <v>1</v>
      </c>
      <c r="HQ9" t="b">
        <v>1</v>
      </c>
      <c r="HR9" t="b">
        <v>1</v>
      </c>
      <c r="HS9" t="b">
        <v>1</v>
      </c>
      <c r="HT9" t="b">
        <v>1</v>
      </c>
      <c r="HU9" t="b">
        <v>1</v>
      </c>
      <c r="HV9" t="b">
        <v>1</v>
      </c>
      <c r="HW9" t="b">
        <v>1</v>
      </c>
      <c r="HX9" t="b">
        <v>1</v>
      </c>
      <c r="HY9" t="b">
        <v>1</v>
      </c>
      <c r="HZ9" t="b">
        <v>1</v>
      </c>
      <c r="IA9" t="b">
        <v>1</v>
      </c>
      <c r="IB9" t="b">
        <v>1</v>
      </c>
      <c r="IC9" t="b">
        <v>1</v>
      </c>
      <c r="ID9" t="b">
        <v>1</v>
      </c>
      <c r="IE9" t="b">
        <v>1</v>
      </c>
      <c r="IF9" t="b">
        <v>1</v>
      </c>
      <c r="IG9" t="b">
        <v>1</v>
      </c>
      <c r="IH9" t="b">
        <v>1</v>
      </c>
      <c r="II9" t="b">
        <v>1</v>
      </c>
      <c r="IJ9" t="b">
        <v>1</v>
      </c>
      <c r="IK9" t="b">
        <v>1</v>
      </c>
      <c r="IL9" t="b">
        <v>1</v>
      </c>
      <c r="IM9" t="b">
        <v>1</v>
      </c>
      <c r="IN9" t="b">
        <v>1</v>
      </c>
      <c r="IO9" t="b">
        <v>1</v>
      </c>
      <c r="IP9" t="b">
        <v>1</v>
      </c>
      <c r="IQ9" t="b">
        <v>1</v>
      </c>
      <c r="IR9" t="b">
        <v>1</v>
      </c>
      <c r="IS9" t="b">
        <v>1</v>
      </c>
      <c r="IT9" t="b">
        <v>1</v>
      </c>
      <c r="IU9" t="b">
        <v>1</v>
      </c>
      <c r="IV9" t="b">
        <v>1</v>
      </c>
      <c r="IW9" t="b">
        <v>1</v>
      </c>
      <c r="IX9" t="b">
        <v>1</v>
      </c>
      <c r="IY9" t="b">
        <v>1</v>
      </c>
      <c r="IZ9" t="b">
        <v>1</v>
      </c>
      <c r="JA9" t="b">
        <v>1</v>
      </c>
      <c r="JB9" t="b">
        <v>1</v>
      </c>
      <c r="JC9" t="b">
        <v>1</v>
      </c>
      <c r="JD9" t="b">
        <v>1</v>
      </c>
      <c r="JE9" t="b">
        <v>1</v>
      </c>
      <c r="JF9" t="b">
        <v>1</v>
      </c>
      <c r="JG9" t="b">
        <v>1</v>
      </c>
      <c r="JH9" t="b">
        <v>1</v>
      </c>
      <c r="JI9" t="b">
        <v>1</v>
      </c>
      <c r="JJ9" t="b">
        <v>1</v>
      </c>
      <c r="JK9" t="b">
        <v>1</v>
      </c>
      <c r="JL9" t="b">
        <v>1</v>
      </c>
      <c r="JM9" t="b">
        <v>1</v>
      </c>
      <c r="JN9" t="b">
        <v>1</v>
      </c>
      <c r="JO9" t="b">
        <v>1</v>
      </c>
      <c r="JP9" t="b">
        <v>1</v>
      </c>
      <c r="JQ9" t="b">
        <v>1</v>
      </c>
      <c r="JR9" t="b">
        <v>1</v>
      </c>
      <c r="JS9" t="b">
        <v>1</v>
      </c>
      <c r="JT9" t="b">
        <v>1</v>
      </c>
      <c r="JU9" t="b">
        <v>1</v>
      </c>
      <c r="JV9" t="b">
        <v>1</v>
      </c>
      <c r="JW9" t="b">
        <v>1</v>
      </c>
      <c r="JX9" t="b">
        <v>1</v>
      </c>
      <c r="JY9" t="b">
        <v>1</v>
      </c>
      <c r="JZ9" t="b">
        <v>0</v>
      </c>
      <c r="KA9" t="b">
        <v>0</v>
      </c>
      <c r="KB9" t="b">
        <v>1</v>
      </c>
      <c r="KC9" t="b">
        <v>1</v>
      </c>
      <c r="KD9" t="b">
        <v>1</v>
      </c>
      <c r="KE9" t="b">
        <v>1</v>
      </c>
      <c r="KF9" t="b">
        <v>1</v>
      </c>
      <c r="KG9" t="b">
        <v>1</v>
      </c>
      <c r="KH9" t="b">
        <v>1</v>
      </c>
      <c r="KI9" t="b">
        <v>1</v>
      </c>
      <c r="KJ9" t="b">
        <v>1</v>
      </c>
      <c r="KK9" t="b">
        <v>1</v>
      </c>
      <c r="KL9" t="b">
        <v>1</v>
      </c>
      <c r="KM9" t="b">
        <v>1</v>
      </c>
      <c r="KN9" t="b">
        <v>1</v>
      </c>
      <c r="KO9" t="b">
        <v>1</v>
      </c>
      <c r="KP9" t="b">
        <v>1</v>
      </c>
      <c r="KQ9" t="b">
        <v>1</v>
      </c>
      <c r="KR9" t="b">
        <v>1</v>
      </c>
      <c r="KS9" t="b">
        <v>1</v>
      </c>
      <c r="KT9" t="b">
        <v>1</v>
      </c>
      <c r="KU9" t="b">
        <v>1</v>
      </c>
      <c r="KV9" t="b">
        <v>1</v>
      </c>
      <c r="KW9" t="b">
        <v>1</v>
      </c>
      <c r="KX9" t="b">
        <v>1</v>
      </c>
      <c r="KY9" t="b">
        <v>1</v>
      </c>
      <c r="KZ9" t="b">
        <v>1</v>
      </c>
      <c r="LA9" t="b">
        <v>1</v>
      </c>
      <c r="LB9" t="b">
        <v>1</v>
      </c>
      <c r="LC9" t="b">
        <v>1</v>
      </c>
      <c r="LD9" t="b">
        <v>1</v>
      </c>
      <c r="LE9" t="b">
        <v>1</v>
      </c>
      <c r="LF9" t="b">
        <v>1</v>
      </c>
      <c r="LG9" t="b">
        <v>1</v>
      </c>
      <c r="LH9" t="b">
        <v>1</v>
      </c>
      <c r="LI9" t="b">
        <v>1</v>
      </c>
      <c r="LJ9" t="b">
        <v>1</v>
      </c>
      <c r="LK9" t="b">
        <v>1</v>
      </c>
      <c r="LL9" t="b">
        <v>1</v>
      </c>
      <c r="LM9" t="b">
        <v>1</v>
      </c>
      <c r="LN9" t="b">
        <v>1</v>
      </c>
      <c r="LO9" t="b">
        <v>1</v>
      </c>
      <c r="LP9" t="b">
        <v>1</v>
      </c>
      <c r="LQ9" t="b">
        <v>1</v>
      </c>
      <c r="LR9" t="b">
        <v>1</v>
      </c>
      <c r="LS9" t="b">
        <v>1</v>
      </c>
      <c r="LT9" t="b">
        <v>1</v>
      </c>
      <c r="LU9" t="b">
        <v>1</v>
      </c>
      <c r="LV9" t="b">
        <v>1</v>
      </c>
      <c r="LW9" t="b">
        <v>1</v>
      </c>
      <c r="LX9" t="b">
        <v>1</v>
      </c>
      <c r="LY9" t="b">
        <v>1</v>
      </c>
      <c r="LZ9" t="b">
        <v>1</v>
      </c>
      <c r="MA9" t="b">
        <v>1</v>
      </c>
      <c r="MB9" t="b">
        <v>1</v>
      </c>
      <c r="MC9" t="b">
        <v>1</v>
      </c>
      <c r="MD9" t="b">
        <v>1</v>
      </c>
      <c r="ME9" t="b">
        <v>1</v>
      </c>
      <c r="MF9" t="b">
        <v>1</v>
      </c>
      <c r="MG9" t="b">
        <v>1</v>
      </c>
      <c r="MH9" t="b">
        <v>0</v>
      </c>
      <c r="MI9" t="b">
        <v>1</v>
      </c>
      <c r="MJ9" t="b">
        <v>1</v>
      </c>
      <c r="MK9" t="b">
        <v>1</v>
      </c>
      <c r="ML9" t="b">
        <v>1</v>
      </c>
      <c r="MM9" t="b">
        <v>1</v>
      </c>
      <c r="MN9" t="b">
        <v>1</v>
      </c>
      <c r="MO9" t="b">
        <v>1</v>
      </c>
      <c r="MP9" t="b">
        <v>1</v>
      </c>
      <c r="MQ9" t="b">
        <v>1</v>
      </c>
      <c r="MR9" t="b">
        <v>1</v>
      </c>
      <c r="MS9" t="b">
        <v>1</v>
      </c>
      <c r="MT9" t="b">
        <v>1</v>
      </c>
      <c r="MU9" t="b">
        <v>1</v>
      </c>
      <c r="MV9" t="b">
        <v>1</v>
      </c>
      <c r="MW9" t="b">
        <v>1</v>
      </c>
      <c r="MX9" t="b">
        <v>0</v>
      </c>
      <c r="MY9" t="b">
        <v>0</v>
      </c>
      <c r="MZ9" t="b">
        <v>1</v>
      </c>
      <c r="NA9" t="b">
        <v>1</v>
      </c>
      <c r="NB9" t="b">
        <v>1</v>
      </c>
      <c r="NC9" t="b">
        <v>1</v>
      </c>
      <c r="ND9" t="b">
        <v>1</v>
      </c>
      <c r="NE9" t="b">
        <v>1</v>
      </c>
      <c r="NF9" t="b">
        <v>1</v>
      </c>
      <c r="NG9" t="b">
        <v>1</v>
      </c>
      <c r="NH9" t="b">
        <v>1</v>
      </c>
      <c r="NI9" t="b">
        <v>1</v>
      </c>
      <c r="NJ9" t="b">
        <v>0</v>
      </c>
      <c r="NK9" t="b">
        <v>0</v>
      </c>
      <c r="NM9" t="s">
        <v>464</v>
      </c>
      <c r="NN9" t="b">
        <v>0</v>
      </c>
    </row>
    <row r="10" spans="1:378" x14ac:dyDescent="0.25">
      <c r="A10" t="b">
        <v>0</v>
      </c>
      <c r="B10" t="b">
        <v>0</v>
      </c>
      <c r="C10" t="b">
        <v>1</v>
      </c>
      <c r="D10" t="b">
        <v>1</v>
      </c>
      <c r="E10" t="b">
        <v>0</v>
      </c>
      <c r="F10" t="b">
        <v>1</v>
      </c>
      <c r="G10" t="b">
        <v>1</v>
      </c>
      <c r="H10" t="b">
        <v>1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1</v>
      </c>
      <c r="P10" t="b">
        <v>1</v>
      </c>
      <c r="Q10" t="b">
        <v>1</v>
      </c>
      <c r="R10" t="b">
        <v>0</v>
      </c>
      <c r="S10" t="b">
        <v>1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0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1</v>
      </c>
      <c r="AN10" t="b">
        <v>1</v>
      </c>
      <c r="AO10" t="b">
        <v>1</v>
      </c>
      <c r="AP10" t="b">
        <v>1</v>
      </c>
      <c r="AQ10" t="b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  <c r="BG10" t="b">
        <v>1</v>
      </c>
      <c r="BH10" t="b">
        <v>1</v>
      </c>
      <c r="BI10" t="b">
        <v>1</v>
      </c>
      <c r="BJ10" t="b">
        <v>1</v>
      </c>
      <c r="BK10" t="b">
        <v>1</v>
      </c>
      <c r="BL10" t="b">
        <v>1</v>
      </c>
      <c r="BM10" t="b">
        <v>1</v>
      </c>
      <c r="BN10" t="b">
        <v>1</v>
      </c>
      <c r="BO10" t="b">
        <v>1</v>
      </c>
      <c r="BP10" t="b">
        <v>1</v>
      </c>
      <c r="BQ10" t="b">
        <v>1</v>
      </c>
      <c r="BR10" t="b">
        <v>1</v>
      </c>
      <c r="BS10" t="b">
        <v>1</v>
      </c>
      <c r="BT10" t="b">
        <v>1</v>
      </c>
      <c r="BU10" t="b">
        <v>1</v>
      </c>
      <c r="BV10" t="b">
        <v>1</v>
      </c>
      <c r="BW10" t="b">
        <v>1</v>
      </c>
      <c r="BX10" t="b">
        <v>1</v>
      </c>
      <c r="BY10" t="b">
        <v>1</v>
      </c>
      <c r="BZ10" t="b">
        <v>1</v>
      </c>
      <c r="CA10" t="b">
        <v>1</v>
      </c>
      <c r="CB10" t="b">
        <v>1</v>
      </c>
      <c r="CC10" t="b">
        <v>1</v>
      </c>
      <c r="CD10" t="b">
        <v>1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b">
        <v>1</v>
      </c>
      <c r="CT10" t="b">
        <v>1</v>
      </c>
      <c r="CU10" t="b">
        <v>1</v>
      </c>
      <c r="CV10" t="b">
        <v>1</v>
      </c>
      <c r="CW10" t="b">
        <v>1</v>
      </c>
      <c r="CX10" t="b">
        <v>1</v>
      </c>
      <c r="CY10" t="b">
        <v>1</v>
      </c>
      <c r="CZ10" t="b">
        <v>1</v>
      </c>
      <c r="DA10" t="b">
        <v>1</v>
      </c>
      <c r="DB10" t="b">
        <v>1</v>
      </c>
      <c r="DC10" t="b">
        <v>1</v>
      </c>
      <c r="DD10" t="b">
        <v>1</v>
      </c>
      <c r="DE10" t="b">
        <v>1</v>
      </c>
      <c r="DF10" t="b">
        <v>1</v>
      </c>
      <c r="DG10" t="b">
        <v>1</v>
      </c>
      <c r="DH10" t="b">
        <v>1</v>
      </c>
      <c r="DI10" t="b">
        <v>1</v>
      </c>
      <c r="DJ10" t="b">
        <v>1</v>
      </c>
      <c r="DK10" t="b">
        <v>1</v>
      </c>
      <c r="DL10" t="b">
        <v>1</v>
      </c>
      <c r="DM10" t="b">
        <v>1</v>
      </c>
      <c r="DN10" t="b">
        <v>1</v>
      </c>
      <c r="DO10" t="b">
        <v>1</v>
      </c>
      <c r="DP10" t="b">
        <v>1</v>
      </c>
      <c r="DQ10" t="b">
        <v>1</v>
      </c>
      <c r="DR10" t="b">
        <v>1</v>
      </c>
      <c r="DS10" t="b">
        <v>1</v>
      </c>
      <c r="DT10" t="b">
        <v>1</v>
      </c>
      <c r="DU10" t="b">
        <v>1</v>
      </c>
      <c r="DV10" t="b">
        <v>1</v>
      </c>
      <c r="DW10" t="b">
        <v>1</v>
      </c>
      <c r="DX10" t="b">
        <v>1</v>
      </c>
      <c r="DY10" t="b">
        <v>1</v>
      </c>
      <c r="DZ10" t="b">
        <v>1</v>
      </c>
      <c r="EA10" t="b">
        <v>1</v>
      </c>
      <c r="EB10" t="b">
        <v>1</v>
      </c>
      <c r="EC10" t="b">
        <v>1</v>
      </c>
      <c r="ED10" t="b">
        <v>1</v>
      </c>
      <c r="EE10" t="b">
        <v>1</v>
      </c>
      <c r="EF10" t="b">
        <v>1</v>
      </c>
      <c r="EG10" t="b">
        <v>1</v>
      </c>
      <c r="EH10" t="b">
        <v>1</v>
      </c>
      <c r="EI10" t="b">
        <v>1</v>
      </c>
      <c r="EJ10" t="b">
        <v>1</v>
      </c>
      <c r="EK10" t="b">
        <v>1</v>
      </c>
      <c r="EL10" t="b">
        <v>1</v>
      </c>
      <c r="EM10" t="b">
        <v>1</v>
      </c>
      <c r="EN10" t="b">
        <v>1</v>
      </c>
      <c r="EO10" t="b">
        <v>1</v>
      </c>
      <c r="EP10" t="b">
        <v>1</v>
      </c>
      <c r="EQ10" t="b">
        <v>1</v>
      </c>
      <c r="ER10" t="b">
        <v>1</v>
      </c>
      <c r="ES10" t="b">
        <v>1</v>
      </c>
      <c r="ET10" t="b">
        <v>1</v>
      </c>
      <c r="EU10" t="b">
        <v>1</v>
      </c>
      <c r="EV10" t="b">
        <v>1</v>
      </c>
      <c r="EW10" t="b">
        <v>1</v>
      </c>
      <c r="EX10" t="b">
        <v>1</v>
      </c>
      <c r="EY10" t="b">
        <v>1</v>
      </c>
      <c r="EZ10" t="b">
        <v>1</v>
      </c>
      <c r="FA10" t="b">
        <v>1</v>
      </c>
      <c r="FB10" t="b">
        <v>1</v>
      </c>
      <c r="FC10" t="b">
        <v>1</v>
      </c>
      <c r="FD10" t="b">
        <v>1</v>
      </c>
      <c r="FE10" t="b">
        <v>1</v>
      </c>
      <c r="FF10" t="b">
        <v>1</v>
      </c>
      <c r="FG10" t="b">
        <v>1</v>
      </c>
      <c r="FH10" t="b">
        <v>1</v>
      </c>
      <c r="FI10" t="b">
        <v>1</v>
      </c>
      <c r="FJ10" t="b">
        <v>1</v>
      </c>
      <c r="FK10" t="b">
        <v>1</v>
      </c>
      <c r="FL10" t="b">
        <v>1</v>
      </c>
      <c r="FM10" t="b">
        <v>1</v>
      </c>
      <c r="FN10" t="b">
        <v>1</v>
      </c>
      <c r="FO10" t="b">
        <v>1</v>
      </c>
      <c r="FP10" t="b">
        <v>1</v>
      </c>
      <c r="FQ10" t="b">
        <v>1</v>
      </c>
      <c r="FR10" t="b">
        <v>1</v>
      </c>
      <c r="FS10" t="b">
        <v>1</v>
      </c>
      <c r="FT10" t="b">
        <v>1</v>
      </c>
      <c r="FU10" t="b">
        <v>1</v>
      </c>
      <c r="FV10" t="b">
        <v>1</v>
      </c>
      <c r="FW10" t="b">
        <v>1</v>
      </c>
      <c r="FX10" t="b">
        <v>1</v>
      </c>
      <c r="FY10" t="b">
        <v>1</v>
      </c>
      <c r="FZ10" t="b">
        <v>1</v>
      </c>
      <c r="GA10" t="b">
        <v>1</v>
      </c>
      <c r="GB10" t="b">
        <v>1</v>
      </c>
      <c r="GC10" t="b">
        <v>1</v>
      </c>
      <c r="GD10" t="b">
        <v>1</v>
      </c>
      <c r="GE10" t="b">
        <v>1</v>
      </c>
      <c r="GF10" t="b">
        <v>1</v>
      </c>
      <c r="GG10" t="b">
        <v>1</v>
      </c>
      <c r="GH10" t="b">
        <v>1</v>
      </c>
      <c r="GI10" t="b">
        <v>1</v>
      </c>
      <c r="GJ10" t="b">
        <v>1</v>
      </c>
      <c r="GK10" t="b">
        <v>1</v>
      </c>
      <c r="GL10" t="b">
        <v>1</v>
      </c>
      <c r="GM10" t="b">
        <v>1</v>
      </c>
      <c r="GN10" t="b">
        <v>1</v>
      </c>
      <c r="GO10" t="b">
        <v>1</v>
      </c>
      <c r="GP10" t="b">
        <v>1</v>
      </c>
      <c r="GQ10" t="b">
        <v>1</v>
      </c>
      <c r="GR10" t="b">
        <v>1</v>
      </c>
      <c r="GS10" t="b">
        <v>1</v>
      </c>
      <c r="GT10" t="b">
        <v>1</v>
      </c>
      <c r="GU10" t="b">
        <v>1</v>
      </c>
      <c r="GV10" t="b">
        <v>1</v>
      </c>
      <c r="GW10" t="b">
        <v>1</v>
      </c>
      <c r="GX10" t="b">
        <v>1</v>
      </c>
      <c r="GY10" t="b">
        <v>1</v>
      </c>
      <c r="GZ10" t="b">
        <v>1</v>
      </c>
      <c r="HA10" t="b">
        <v>1</v>
      </c>
      <c r="HB10" t="b">
        <v>1</v>
      </c>
      <c r="HC10" t="b">
        <v>1</v>
      </c>
      <c r="HD10" t="b">
        <v>1</v>
      </c>
      <c r="HE10" t="b">
        <v>1</v>
      </c>
      <c r="HF10" t="b">
        <v>1</v>
      </c>
      <c r="HG10" t="b">
        <v>1</v>
      </c>
      <c r="HH10" t="b">
        <v>1</v>
      </c>
      <c r="HI10" t="b">
        <v>1</v>
      </c>
      <c r="HJ10" t="b">
        <v>1</v>
      </c>
      <c r="HK10" t="b">
        <v>1</v>
      </c>
      <c r="HL10" t="b">
        <v>1</v>
      </c>
      <c r="HM10" t="b">
        <v>1</v>
      </c>
      <c r="HN10" t="b">
        <v>1</v>
      </c>
      <c r="HO10" t="b">
        <v>1</v>
      </c>
      <c r="HP10" t="b">
        <v>1</v>
      </c>
      <c r="HQ10" t="b">
        <v>1</v>
      </c>
      <c r="HR10" t="b">
        <v>1</v>
      </c>
      <c r="HS10" t="b">
        <v>1</v>
      </c>
      <c r="HT10" t="b">
        <v>1</v>
      </c>
      <c r="HU10" t="b">
        <v>1</v>
      </c>
      <c r="HV10" t="b">
        <v>1</v>
      </c>
      <c r="HW10" t="b">
        <v>1</v>
      </c>
      <c r="HX10" t="b">
        <v>1</v>
      </c>
      <c r="HY10" t="b">
        <v>1</v>
      </c>
      <c r="HZ10" t="b">
        <v>1</v>
      </c>
      <c r="IA10" t="b">
        <v>1</v>
      </c>
      <c r="IB10" t="b">
        <v>1</v>
      </c>
      <c r="IC10" t="b">
        <v>1</v>
      </c>
      <c r="ID10" t="b">
        <v>1</v>
      </c>
      <c r="IE10" t="b">
        <v>1</v>
      </c>
      <c r="IF10" t="b">
        <v>1</v>
      </c>
      <c r="IG10" t="b">
        <v>1</v>
      </c>
      <c r="IH10" t="b">
        <v>1</v>
      </c>
      <c r="II10" t="b">
        <v>1</v>
      </c>
      <c r="IJ10" t="b">
        <v>1</v>
      </c>
      <c r="IK10" t="b">
        <v>1</v>
      </c>
      <c r="IL10" t="b">
        <v>1</v>
      </c>
      <c r="IM10" t="b">
        <v>1</v>
      </c>
      <c r="IN10" t="b">
        <v>1</v>
      </c>
      <c r="IO10" t="b">
        <v>1</v>
      </c>
      <c r="IP10" t="b">
        <v>1</v>
      </c>
      <c r="IQ10" t="b">
        <v>0</v>
      </c>
      <c r="IR10" t="b">
        <v>1</v>
      </c>
      <c r="IS10" t="b">
        <v>1</v>
      </c>
      <c r="IT10" t="b">
        <v>1</v>
      </c>
      <c r="IU10" t="b">
        <v>1</v>
      </c>
      <c r="IV10" t="b">
        <v>1</v>
      </c>
      <c r="IW10" t="b">
        <v>1</v>
      </c>
      <c r="IX10" t="b">
        <v>0</v>
      </c>
      <c r="IY10" t="b">
        <v>1</v>
      </c>
      <c r="IZ10" t="b">
        <v>1</v>
      </c>
      <c r="JA10" t="b">
        <v>1</v>
      </c>
      <c r="JB10" t="b">
        <v>1</v>
      </c>
      <c r="JC10" t="b">
        <v>1</v>
      </c>
      <c r="JD10" t="b">
        <v>1</v>
      </c>
      <c r="JE10" t="b">
        <v>1</v>
      </c>
      <c r="JF10" t="b">
        <v>1</v>
      </c>
      <c r="JG10" t="b">
        <v>1</v>
      </c>
      <c r="JH10" t="b">
        <v>1</v>
      </c>
      <c r="JI10" t="b">
        <v>1</v>
      </c>
      <c r="JJ10" t="b">
        <v>1</v>
      </c>
      <c r="JK10" t="b">
        <v>1</v>
      </c>
      <c r="JL10" t="b">
        <v>0</v>
      </c>
      <c r="JM10" t="b">
        <v>1</v>
      </c>
      <c r="JN10" t="b">
        <v>1</v>
      </c>
      <c r="JO10" t="b">
        <v>1</v>
      </c>
      <c r="JP10" t="b">
        <v>1</v>
      </c>
      <c r="JQ10" t="b">
        <v>1</v>
      </c>
      <c r="JR10" t="b">
        <v>0</v>
      </c>
      <c r="JS10" t="b">
        <v>1</v>
      </c>
      <c r="JT10" t="b">
        <v>1</v>
      </c>
      <c r="JU10" t="b">
        <v>1</v>
      </c>
      <c r="JV10" t="b">
        <v>1</v>
      </c>
      <c r="JW10" t="b">
        <v>0</v>
      </c>
      <c r="JX10" t="b">
        <v>0</v>
      </c>
      <c r="JY10" t="b">
        <v>1</v>
      </c>
      <c r="JZ10" t="b">
        <v>0</v>
      </c>
      <c r="KA10" t="b">
        <v>0</v>
      </c>
      <c r="KB10" t="b">
        <v>0</v>
      </c>
      <c r="KC10" t="b">
        <v>0</v>
      </c>
      <c r="KD10" t="b">
        <v>0</v>
      </c>
      <c r="KE10" t="b">
        <v>0</v>
      </c>
      <c r="KF10" t="b">
        <v>0</v>
      </c>
      <c r="KG10" t="b">
        <v>0</v>
      </c>
      <c r="KH10" t="b">
        <v>0</v>
      </c>
      <c r="KI10" t="b">
        <v>0</v>
      </c>
      <c r="KJ10" t="b">
        <v>0</v>
      </c>
      <c r="KK10" t="b">
        <v>0</v>
      </c>
      <c r="KL10" t="b">
        <v>0</v>
      </c>
      <c r="KM10" t="b">
        <v>0</v>
      </c>
      <c r="KN10" t="b">
        <v>0</v>
      </c>
      <c r="KO10" t="b">
        <v>0</v>
      </c>
      <c r="KP10" t="b">
        <v>0</v>
      </c>
      <c r="KQ10" t="b">
        <v>0</v>
      </c>
      <c r="KR10" t="b">
        <v>0</v>
      </c>
      <c r="KS10" t="b">
        <v>0</v>
      </c>
      <c r="KT10" t="b">
        <v>0</v>
      </c>
      <c r="KU10" t="b">
        <v>0</v>
      </c>
      <c r="KV10" t="b">
        <v>0</v>
      </c>
      <c r="KW10" t="b">
        <v>0</v>
      </c>
      <c r="KX10" t="b">
        <v>0</v>
      </c>
      <c r="KY10" t="b">
        <v>0</v>
      </c>
      <c r="KZ10" t="b">
        <v>0</v>
      </c>
      <c r="LA10" t="b">
        <v>0</v>
      </c>
      <c r="LB10" t="b">
        <v>0</v>
      </c>
      <c r="LC10" t="b">
        <v>0</v>
      </c>
      <c r="LD10" t="b">
        <v>0</v>
      </c>
      <c r="LE10" t="b">
        <v>0</v>
      </c>
      <c r="LF10" t="b">
        <v>0</v>
      </c>
      <c r="LG10" t="b">
        <v>0</v>
      </c>
      <c r="LH10" t="b">
        <v>0</v>
      </c>
      <c r="LI10" t="b">
        <v>0</v>
      </c>
      <c r="LJ10" t="b">
        <v>0</v>
      </c>
      <c r="LK10" t="b">
        <v>0</v>
      </c>
      <c r="LL10" t="b">
        <v>0</v>
      </c>
      <c r="LM10" t="b">
        <v>0</v>
      </c>
      <c r="LN10" t="b">
        <v>0</v>
      </c>
      <c r="LO10" t="b">
        <v>0</v>
      </c>
      <c r="LP10" t="b">
        <v>0</v>
      </c>
      <c r="LQ10" t="b">
        <v>0</v>
      </c>
      <c r="LR10" t="b">
        <v>0</v>
      </c>
      <c r="LS10" t="b">
        <v>0</v>
      </c>
      <c r="LT10" t="b">
        <v>0</v>
      </c>
      <c r="LU10" t="b">
        <v>0</v>
      </c>
      <c r="LV10" t="b">
        <v>0</v>
      </c>
      <c r="LW10" t="b">
        <v>0</v>
      </c>
      <c r="LX10" t="b">
        <v>0</v>
      </c>
      <c r="LY10" t="b">
        <v>0</v>
      </c>
      <c r="LZ10" t="b">
        <v>0</v>
      </c>
      <c r="MA10" t="b">
        <v>0</v>
      </c>
      <c r="MB10" t="b">
        <v>0</v>
      </c>
      <c r="MC10" t="b">
        <v>0</v>
      </c>
      <c r="MD10" t="b">
        <v>0</v>
      </c>
      <c r="ME10" t="b">
        <v>0</v>
      </c>
      <c r="MF10" t="b">
        <v>0</v>
      </c>
      <c r="MG10" t="b">
        <v>0</v>
      </c>
      <c r="MH10" t="b">
        <v>0</v>
      </c>
      <c r="MI10" t="b">
        <v>0</v>
      </c>
      <c r="MJ10" t="b">
        <v>1</v>
      </c>
      <c r="MK10" t="b">
        <v>0</v>
      </c>
      <c r="ML10" t="b">
        <v>1</v>
      </c>
      <c r="MM10" t="b">
        <v>0</v>
      </c>
      <c r="MN10" t="b">
        <v>1</v>
      </c>
      <c r="MO10" t="b">
        <v>0</v>
      </c>
      <c r="MP10" t="b">
        <v>1</v>
      </c>
      <c r="MQ10" t="b">
        <v>0</v>
      </c>
      <c r="MR10" t="b">
        <v>1</v>
      </c>
      <c r="MS10" t="b">
        <v>0</v>
      </c>
      <c r="MT10" t="b">
        <v>1</v>
      </c>
      <c r="MU10" t="b">
        <v>1</v>
      </c>
      <c r="MV10" t="b">
        <v>0</v>
      </c>
      <c r="MW10" t="b">
        <v>1</v>
      </c>
      <c r="MX10" t="b">
        <v>0</v>
      </c>
      <c r="MY10" t="b">
        <v>0</v>
      </c>
      <c r="MZ10" t="b">
        <v>1</v>
      </c>
      <c r="NA10" t="b">
        <v>1</v>
      </c>
      <c r="NB10" t="b">
        <v>1</v>
      </c>
      <c r="NC10" t="b">
        <v>1</v>
      </c>
      <c r="ND10" t="b">
        <v>1</v>
      </c>
      <c r="NE10" t="b">
        <v>1</v>
      </c>
      <c r="NF10" t="b">
        <v>1</v>
      </c>
      <c r="NG10" t="b">
        <v>1</v>
      </c>
      <c r="NH10" t="b">
        <v>1</v>
      </c>
      <c r="NI10" t="b">
        <v>1</v>
      </c>
      <c r="NJ10" t="b">
        <v>0</v>
      </c>
      <c r="NK10" t="b">
        <v>0</v>
      </c>
      <c r="NM10" t="s">
        <v>466</v>
      </c>
      <c r="NN10" t="b">
        <v>0</v>
      </c>
    </row>
    <row r="11" spans="1:378" x14ac:dyDescent="0.25">
      <c r="A11" t="b">
        <v>0</v>
      </c>
      <c r="B11" t="b">
        <v>1</v>
      </c>
      <c r="C11" t="b">
        <v>1</v>
      </c>
      <c r="D11" t="b">
        <v>1</v>
      </c>
      <c r="E11" t="b">
        <v>0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0</v>
      </c>
      <c r="L11" t="b">
        <v>1</v>
      </c>
      <c r="M11" t="b">
        <v>1</v>
      </c>
      <c r="N11" t="b">
        <v>1</v>
      </c>
      <c r="O11" t="b">
        <v>1</v>
      </c>
      <c r="P11" t="b">
        <v>1</v>
      </c>
      <c r="Q11" t="b">
        <v>1</v>
      </c>
      <c r="R11" t="b">
        <v>1</v>
      </c>
      <c r="S11" t="b">
        <v>1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  <c r="AE11" t="b">
        <v>1</v>
      </c>
      <c r="AF11" t="b">
        <v>1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1</v>
      </c>
      <c r="AN11" t="b">
        <v>1</v>
      </c>
      <c r="AO11" t="b">
        <v>1</v>
      </c>
      <c r="AP11" t="b">
        <v>1</v>
      </c>
      <c r="AQ11" t="b">
        <v>1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  <c r="BG11" t="b">
        <v>1</v>
      </c>
      <c r="BH11" t="b">
        <v>1</v>
      </c>
      <c r="BI11" t="b">
        <v>1</v>
      </c>
      <c r="BJ11" t="b">
        <v>1</v>
      </c>
      <c r="BK11" t="b">
        <v>1</v>
      </c>
      <c r="BL11" t="b">
        <v>1</v>
      </c>
      <c r="BM11" t="b">
        <v>1</v>
      </c>
      <c r="BN11" t="b">
        <v>1</v>
      </c>
      <c r="BO11" t="b">
        <v>1</v>
      </c>
      <c r="BP11" t="b">
        <v>1</v>
      </c>
      <c r="BQ11" t="b">
        <v>1</v>
      </c>
      <c r="BR11" t="b">
        <v>1</v>
      </c>
      <c r="BS11" t="b">
        <v>1</v>
      </c>
      <c r="BT11" t="b">
        <v>1</v>
      </c>
      <c r="BU11" t="b">
        <v>1</v>
      </c>
      <c r="BV11" t="b">
        <v>1</v>
      </c>
      <c r="BW11" t="b">
        <v>1</v>
      </c>
      <c r="BX11" t="b">
        <v>1</v>
      </c>
      <c r="BY11" t="b">
        <v>1</v>
      </c>
      <c r="BZ11" t="b">
        <v>1</v>
      </c>
      <c r="CA11" t="b">
        <v>1</v>
      </c>
      <c r="CB11" t="b">
        <v>1</v>
      </c>
      <c r="CC11" t="b">
        <v>1</v>
      </c>
      <c r="CD11" t="b">
        <v>1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  <c r="CS11" t="b">
        <v>1</v>
      </c>
      <c r="CT11" t="b">
        <v>1</v>
      </c>
      <c r="CU11" t="b">
        <v>1</v>
      </c>
      <c r="CV11" t="b">
        <v>1</v>
      </c>
      <c r="CW11" t="b">
        <v>1</v>
      </c>
      <c r="CX11" t="b">
        <v>1</v>
      </c>
      <c r="CY11" t="b">
        <v>1</v>
      </c>
      <c r="CZ11" t="b">
        <v>1</v>
      </c>
      <c r="DA11" t="b">
        <v>1</v>
      </c>
      <c r="DB11" t="b">
        <v>1</v>
      </c>
      <c r="DC11" t="b">
        <v>1</v>
      </c>
      <c r="DD11" t="b">
        <v>1</v>
      </c>
      <c r="DE11" t="b">
        <v>1</v>
      </c>
      <c r="DF11" t="b">
        <v>1</v>
      </c>
      <c r="DG11" t="b">
        <v>1</v>
      </c>
      <c r="DH11" t="b">
        <v>1</v>
      </c>
      <c r="DI11" t="b">
        <v>1</v>
      </c>
      <c r="DJ11" t="b">
        <v>1</v>
      </c>
      <c r="DK11" t="b">
        <v>1</v>
      </c>
      <c r="DL11" t="b">
        <v>1</v>
      </c>
      <c r="DM11" t="b">
        <v>1</v>
      </c>
      <c r="DN11" t="b">
        <v>1</v>
      </c>
      <c r="DO11" t="b">
        <v>1</v>
      </c>
      <c r="DP11" t="b">
        <v>1</v>
      </c>
      <c r="DQ11" t="b">
        <v>1</v>
      </c>
      <c r="DR11" t="b">
        <v>1</v>
      </c>
      <c r="DS11" t="b">
        <v>1</v>
      </c>
      <c r="DT11" t="b">
        <v>1</v>
      </c>
      <c r="DU11" t="b">
        <v>1</v>
      </c>
      <c r="DV11" t="b">
        <v>1</v>
      </c>
      <c r="DW11" t="b">
        <v>1</v>
      </c>
      <c r="DX11" t="b">
        <v>1</v>
      </c>
      <c r="DY11" t="b">
        <v>1</v>
      </c>
      <c r="DZ11" t="b">
        <v>1</v>
      </c>
      <c r="EA11" t="b">
        <v>1</v>
      </c>
      <c r="EB11" t="b">
        <v>1</v>
      </c>
      <c r="EC11" t="b">
        <v>1</v>
      </c>
      <c r="ED11" t="b">
        <v>1</v>
      </c>
      <c r="EE11" t="b">
        <v>1</v>
      </c>
      <c r="EF11" t="b">
        <v>1</v>
      </c>
      <c r="EG11" t="b">
        <v>1</v>
      </c>
      <c r="EH11" t="b">
        <v>1</v>
      </c>
      <c r="EI11" t="b">
        <v>1</v>
      </c>
      <c r="EJ11" t="b">
        <v>1</v>
      </c>
      <c r="EK11" t="b">
        <v>1</v>
      </c>
      <c r="EL11" t="b">
        <v>1</v>
      </c>
      <c r="EM11" t="b">
        <v>1</v>
      </c>
      <c r="EN11" t="b">
        <v>1</v>
      </c>
      <c r="EO11" t="b">
        <v>1</v>
      </c>
      <c r="EP11" t="b">
        <v>1</v>
      </c>
      <c r="EQ11" t="b">
        <v>1</v>
      </c>
      <c r="ER11" t="b">
        <v>1</v>
      </c>
      <c r="ES11" t="b">
        <v>1</v>
      </c>
      <c r="ET11" t="b">
        <v>1</v>
      </c>
      <c r="EU11" t="b">
        <v>1</v>
      </c>
      <c r="EV11" t="b">
        <v>1</v>
      </c>
      <c r="EW11" t="b">
        <v>1</v>
      </c>
      <c r="EX11" t="b">
        <v>1</v>
      </c>
      <c r="EY11" t="b">
        <v>1</v>
      </c>
      <c r="EZ11" t="b">
        <v>1</v>
      </c>
      <c r="FA11" t="b">
        <v>1</v>
      </c>
      <c r="FB11" t="b">
        <v>1</v>
      </c>
      <c r="FC11" t="b">
        <v>1</v>
      </c>
      <c r="FD11" t="b">
        <v>1</v>
      </c>
      <c r="FE11" t="b">
        <v>1</v>
      </c>
      <c r="FF11" t="b">
        <v>1</v>
      </c>
      <c r="FG11" t="b">
        <v>1</v>
      </c>
      <c r="FH11" t="b">
        <v>1</v>
      </c>
      <c r="FI11" t="b">
        <v>1</v>
      </c>
      <c r="FJ11" t="b">
        <v>1</v>
      </c>
      <c r="FK11" t="b">
        <v>1</v>
      </c>
      <c r="FL11" t="b">
        <v>1</v>
      </c>
      <c r="FM11" t="b">
        <v>1</v>
      </c>
      <c r="FN11" t="b">
        <v>1</v>
      </c>
      <c r="FO11" t="b">
        <v>1</v>
      </c>
      <c r="FP11" t="b">
        <v>1</v>
      </c>
      <c r="FQ11" t="b">
        <v>1</v>
      </c>
      <c r="FR11" t="b">
        <v>1</v>
      </c>
      <c r="FS11" t="b">
        <v>1</v>
      </c>
      <c r="FT11" t="b">
        <v>1</v>
      </c>
      <c r="FU11" t="b">
        <v>1</v>
      </c>
      <c r="FV11" t="b">
        <v>1</v>
      </c>
      <c r="FW11" t="b">
        <v>1</v>
      </c>
      <c r="FX11" t="b">
        <v>1</v>
      </c>
      <c r="FY11" t="b">
        <v>1</v>
      </c>
      <c r="FZ11" t="b">
        <v>1</v>
      </c>
      <c r="GA11" t="b">
        <v>1</v>
      </c>
      <c r="GB11" t="b">
        <v>1</v>
      </c>
      <c r="GC11" t="b">
        <v>1</v>
      </c>
      <c r="GD11" t="b">
        <v>1</v>
      </c>
      <c r="GE11" t="b">
        <v>1</v>
      </c>
      <c r="GF11" t="b">
        <v>1</v>
      </c>
      <c r="GG11" t="b">
        <v>1</v>
      </c>
      <c r="GH11" t="b">
        <v>1</v>
      </c>
      <c r="GI11" t="b">
        <v>1</v>
      </c>
      <c r="GJ11" t="b">
        <v>1</v>
      </c>
      <c r="GK11" t="b">
        <v>1</v>
      </c>
      <c r="GL11" t="b">
        <v>1</v>
      </c>
      <c r="GM11" t="b">
        <v>1</v>
      </c>
      <c r="GN11" t="b">
        <v>1</v>
      </c>
      <c r="GO11" t="b">
        <v>1</v>
      </c>
      <c r="GP11" t="b">
        <v>1</v>
      </c>
      <c r="GQ11" t="b">
        <v>1</v>
      </c>
      <c r="GR11" t="b">
        <v>1</v>
      </c>
      <c r="GS11" t="b">
        <v>1</v>
      </c>
      <c r="GT11" t="b">
        <v>1</v>
      </c>
      <c r="GU11" t="b">
        <v>1</v>
      </c>
      <c r="GV11" t="b">
        <v>1</v>
      </c>
      <c r="GW11" t="b">
        <v>1</v>
      </c>
      <c r="GX11" t="b">
        <v>1</v>
      </c>
      <c r="GY11" t="b">
        <v>1</v>
      </c>
      <c r="GZ11" t="b">
        <v>1</v>
      </c>
      <c r="HA11" t="b">
        <v>1</v>
      </c>
      <c r="HB11" t="b">
        <v>1</v>
      </c>
      <c r="HC11" t="b">
        <v>1</v>
      </c>
      <c r="HD11" t="b">
        <v>1</v>
      </c>
      <c r="HE11" t="b">
        <v>1</v>
      </c>
      <c r="HF11" t="b">
        <v>1</v>
      </c>
      <c r="HG11" t="b">
        <v>1</v>
      </c>
      <c r="HH11" t="b">
        <v>1</v>
      </c>
      <c r="HI11" t="b">
        <v>1</v>
      </c>
      <c r="HJ11" t="b">
        <v>1</v>
      </c>
      <c r="HK11" t="b">
        <v>1</v>
      </c>
      <c r="HL11" t="b">
        <v>1</v>
      </c>
      <c r="HM11" t="b">
        <v>1</v>
      </c>
      <c r="HN11" t="b">
        <v>1</v>
      </c>
      <c r="HO11" t="b">
        <v>1</v>
      </c>
      <c r="HP11" t="b">
        <v>1</v>
      </c>
      <c r="HQ11" t="b">
        <v>1</v>
      </c>
      <c r="HR11" t="b">
        <v>1</v>
      </c>
      <c r="HS11" t="b">
        <v>1</v>
      </c>
      <c r="HT11" t="b">
        <v>1</v>
      </c>
      <c r="HU11" t="b">
        <v>1</v>
      </c>
      <c r="HV11" t="b">
        <v>1</v>
      </c>
      <c r="HW11" t="b">
        <v>1</v>
      </c>
      <c r="HX11" t="b">
        <v>1</v>
      </c>
      <c r="HY11" t="b">
        <v>1</v>
      </c>
      <c r="HZ11" t="b">
        <v>1</v>
      </c>
      <c r="IA11" t="b">
        <v>1</v>
      </c>
      <c r="IB11" t="b">
        <v>1</v>
      </c>
      <c r="IC11" t="b">
        <v>1</v>
      </c>
      <c r="ID11" t="b">
        <v>1</v>
      </c>
      <c r="IE11" t="b">
        <v>1</v>
      </c>
      <c r="IF11" t="b">
        <v>1</v>
      </c>
      <c r="IG11" t="b">
        <v>1</v>
      </c>
      <c r="IH11" t="b">
        <v>1</v>
      </c>
      <c r="II11" t="b">
        <v>1</v>
      </c>
      <c r="IJ11" t="b">
        <v>1</v>
      </c>
      <c r="IK11" t="b">
        <v>1</v>
      </c>
      <c r="IL11" t="b">
        <v>1</v>
      </c>
      <c r="IM11" t="b">
        <v>1</v>
      </c>
      <c r="IN11" t="b">
        <v>1</v>
      </c>
      <c r="IO11" t="b">
        <v>1</v>
      </c>
      <c r="IP11" t="b">
        <v>1</v>
      </c>
      <c r="IQ11" t="b">
        <v>1</v>
      </c>
      <c r="IR11" t="b">
        <v>0</v>
      </c>
      <c r="IS11" t="b">
        <v>1</v>
      </c>
      <c r="IT11" t="b">
        <v>1</v>
      </c>
      <c r="IU11" t="b">
        <v>1</v>
      </c>
      <c r="IV11" t="b">
        <v>1</v>
      </c>
      <c r="IW11" t="b">
        <v>1</v>
      </c>
      <c r="IX11" t="b">
        <v>1</v>
      </c>
      <c r="IY11" t="b">
        <v>1</v>
      </c>
      <c r="IZ11" t="b">
        <v>1</v>
      </c>
      <c r="JA11" t="b">
        <v>1</v>
      </c>
      <c r="JB11" t="b">
        <v>1</v>
      </c>
      <c r="JC11" t="b">
        <v>1</v>
      </c>
      <c r="JD11" t="b">
        <v>1</v>
      </c>
      <c r="JE11" t="b">
        <v>1</v>
      </c>
      <c r="JF11" t="b">
        <v>1</v>
      </c>
      <c r="JG11" t="b">
        <v>1</v>
      </c>
      <c r="JH11" t="b">
        <v>1</v>
      </c>
      <c r="JI11" t="b">
        <v>1</v>
      </c>
      <c r="JJ11" t="b">
        <v>1</v>
      </c>
      <c r="JK11" t="b">
        <v>1</v>
      </c>
      <c r="JL11" t="b">
        <v>1</v>
      </c>
      <c r="JM11" t="b">
        <v>1</v>
      </c>
      <c r="JN11" t="b">
        <v>1</v>
      </c>
      <c r="JO11" t="b">
        <v>1</v>
      </c>
      <c r="JP11" t="b">
        <v>1</v>
      </c>
      <c r="JQ11" t="b">
        <v>1</v>
      </c>
      <c r="JR11" t="b">
        <v>1</v>
      </c>
      <c r="JS11" t="b">
        <v>1</v>
      </c>
      <c r="JT11" t="b">
        <v>1</v>
      </c>
      <c r="JU11" t="b">
        <v>1</v>
      </c>
      <c r="JV11" t="b">
        <v>1</v>
      </c>
      <c r="JW11" t="b">
        <v>0</v>
      </c>
      <c r="JX11" t="b">
        <v>1</v>
      </c>
      <c r="JY11" t="b">
        <v>1</v>
      </c>
      <c r="JZ11" t="b">
        <v>1</v>
      </c>
      <c r="KA11" t="b">
        <v>0</v>
      </c>
      <c r="KB11" t="b">
        <v>1</v>
      </c>
      <c r="KC11" t="b">
        <v>1</v>
      </c>
      <c r="KD11" t="b">
        <v>1</v>
      </c>
      <c r="KE11" t="b">
        <v>1</v>
      </c>
      <c r="KF11" t="b">
        <v>0</v>
      </c>
      <c r="KG11" t="b">
        <v>1</v>
      </c>
      <c r="KH11" t="b">
        <v>0</v>
      </c>
      <c r="KI11" t="b">
        <v>0</v>
      </c>
      <c r="KJ11" t="b">
        <v>0</v>
      </c>
      <c r="KK11" t="b">
        <v>0</v>
      </c>
      <c r="KL11" t="b">
        <v>1</v>
      </c>
      <c r="KM11" t="b">
        <v>1</v>
      </c>
      <c r="KN11" t="b">
        <v>1</v>
      </c>
      <c r="KO11" t="b">
        <v>1</v>
      </c>
      <c r="KP11" t="b">
        <v>1</v>
      </c>
      <c r="KQ11" t="b">
        <v>1</v>
      </c>
      <c r="KR11" t="b">
        <v>1</v>
      </c>
      <c r="KS11" t="b">
        <v>1</v>
      </c>
      <c r="KT11" t="b">
        <v>1</v>
      </c>
      <c r="KU11" t="b">
        <v>1</v>
      </c>
      <c r="KV11" t="b">
        <v>1</v>
      </c>
      <c r="KW11" t="b">
        <v>1</v>
      </c>
      <c r="KX11" t="b">
        <v>1</v>
      </c>
      <c r="KY11" t="b">
        <v>1</v>
      </c>
      <c r="KZ11" t="b">
        <v>1</v>
      </c>
      <c r="LA11" t="b">
        <v>1</v>
      </c>
      <c r="LB11" t="b">
        <v>1</v>
      </c>
      <c r="LC11" t="b">
        <v>1</v>
      </c>
      <c r="LD11" t="b">
        <v>1</v>
      </c>
      <c r="LE11" t="b">
        <v>1</v>
      </c>
      <c r="LF11" t="b">
        <v>1</v>
      </c>
      <c r="LG11" t="b">
        <v>1</v>
      </c>
      <c r="LH11" t="b">
        <v>1</v>
      </c>
      <c r="LI11" t="b">
        <v>1</v>
      </c>
      <c r="LJ11" t="b">
        <v>1</v>
      </c>
      <c r="LK11" t="b">
        <v>1</v>
      </c>
      <c r="LL11" t="b">
        <v>1</v>
      </c>
      <c r="LM11" t="b">
        <v>1</v>
      </c>
      <c r="LN11" t="b">
        <v>1</v>
      </c>
      <c r="LO11" t="b">
        <v>1</v>
      </c>
      <c r="LP11" t="b">
        <v>1</v>
      </c>
      <c r="LQ11" t="b">
        <v>1</v>
      </c>
      <c r="LR11" t="b">
        <v>1</v>
      </c>
      <c r="LS11" t="b">
        <v>1</v>
      </c>
      <c r="LT11" t="b">
        <v>1</v>
      </c>
      <c r="LU11" t="b">
        <v>1</v>
      </c>
      <c r="LV11" t="b">
        <v>1</v>
      </c>
      <c r="LW11" t="b">
        <v>1</v>
      </c>
      <c r="LX11" t="b">
        <v>1</v>
      </c>
      <c r="LY11" t="b">
        <v>1</v>
      </c>
      <c r="LZ11" t="b">
        <v>1</v>
      </c>
      <c r="MA11" t="b">
        <v>1</v>
      </c>
      <c r="MB11" t="b">
        <v>1</v>
      </c>
      <c r="MC11" t="b">
        <v>1</v>
      </c>
      <c r="MD11" t="b">
        <v>1</v>
      </c>
      <c r="ME11" t="b">
        <v>1</v>
      </c>
      <c r="MF11" t="b">
        <v>1</v>
      </c>
      <c r="MG11" t="b">
        <v>1</v>
      </c>
      <c r="MH11" t="b">
        <v>0</v>
      </c>
      <c r="MI11" t="b">
        <v>1</v>
      </c>
      <c r="MJ11" t="b">
        <v>1</v>
      </c>
      <c r="MK11" t="b">
        <v>1</v>
      </c>
      <c r="ML11" t="b">
        <v>1</v>
      </c>
      <c r="MM11" t="b">
        <v>1</v>
      </c>
      <c r="MN11" t="b">
        <v>1</v>
      </c>
      <c r="MO11" t="b">
        <v>1</v>
      </c>
      <c r="MP11" t="b">
        <v>1</v>
      </c>
      <c r="MQ11" t="b">
        <v>1</v>
      </c>
      <c r="MR11" t="b">
        <v>1</v>
      </c>
      <c r="MS11" t="b">
        <v>1</v>
      </c>
      <c r="MT11" t="b">
        <v>1</v>
      </c>
      <c r="MU11" t="b">
        <v>1</v>
      </c>
      <c r="MV11" t="b">
        <v>1</v>
      </c>
      <c r="MW11" t="b">
        <v>1</v>
      </c>
      <c r="MX11" t="b">
        <v>0</v>
      </c>
      <c r="MY11" t="b">
        <v>1</v>
      </c>
      <c r="MZ11" t="b">
        <v>1</v>
      </c>
      <c r="NA11" t="b">
        <v>1</v>
      </c>
      <c r="NB11" t="b">
        <v>1</v>
      </c>
      <c r="NC11" t="b">
        <v>1</v>
      </c>
      <c r="ND11" t="b">
        <v>1</v>
      </c>
      <c r="NE11" t="b">
        <v>1</v>
      </c>
      <c r="NF11" t="b">
        <v>1</v>
      </c>
      <c r="NG11" t="b">
        <v>1</v>
      </c>
      <c r="NH11" t="b">
        <v>1</v>
      </c>
      <c r="NI11" t="b">
        <v>1</v>
      </c>
      <c r="NJ11" t="b">
        <v>1</v>
      </c>
      <c r="NK11" t="b">
        <v>1</v>
      </c>
      <c r="NM11" t="s">
        <v>467</v>
      </c>
      <c r="NN11" t="b">
        <v>0</v>
      </c>
    </row>
  </sheetData>
  <mergeCells count="126"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E2:E4"/>
    <mergeCell ref="K2:K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AD2:AD3"/>
    <mergeCell ref="AE2:AE3"/>
    <mergeCell ref="AF2:AL2"/>
    <mergeCell ref="AY2:AY3"/>
    <mergeCell ref="AZ2:AZ3"/>
    <mergeCell ref="BA2:BA3"/>
    <mergeCell ref="BB2:BB3"/>
    <mergeCell ref="BC2:BG3"/>
    <mergeCell ref="BH2:BH3"/>
    <mergeCell ref="EX2:HY3"/>
    <mergeCell ref="HZ2:HZ3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KE1:KE4"/>
    <mergeCell ref="KF1:KF4"/>
    <mergeCell ref="JS1:JS4"/>
    <mergeCell ref="JT1:JT4"/>
    <mergeCell ref="JU1:JU4"/>
    <mergeCell ref="JV1:JV4"/>
    <mergeCell ref="JW1:JW4"/>
    <mergeCell ref="JY1:JY4"/>
    <mergeCell ref="JL1:JL4"/>
    <mergeCell ref="JM1:JM4"/>
    <mergeCell ref="JN1:JN4"/>
    <mergeCell ref="JO1:JO4"/>
    <mergeCell ref="JP1:JP4"/>
    <mergeCell ref="JR1:JR4"/>
    <mergeCell ref="MZ1:MZ4"/>
    <mergeCell ref="NB1:NB4"/>
    <mergeCell ref="NC1:NC4"/>
    <mergeCell ref="ND1:ND4"/>
    <mergeCell ref="NA2:NA4"/>
    <mergeCell ref="MT1:MT4"/>
    <mergeCell ref="MU1:MU4"/>
    <mergeCell ref="MV1:MV4"/>
    <mergeCell ref="MW1:MW4"/>
    <mergeCell ref="MX1:MX4"/>
    <mergeCell ref="MY1:MY4"/>
    <mergeCell ref="KG1:KG4"/>
    <mergeCell ref="KH1:KH4"/>
    <mergeCell ref="KI1:MG1"/>
    <mergeCell ref="MH1:MH4"/>
    <mergeCell ref="MI1:MR1"/>
    <mergeCell ref="MS1:MS4"/>
    <mergeCell ref="KL2:LE3"/>
    <mergeCell ref="JZ1:JZ4"/>
    <mergeCell ref="BI2:BI3"/>
    <mergeCell ref="BJ2:BJ3"/>
    <mergeCell ref="BK2:BO3"/>
    <mergeCell ref="BP2:BP3"/>
    <mergeCell ref="BQ2:BQ3"/>
    <mergeCell ref="BR2:BR3"/>
    <mergeCell ref="IA2:IA3"/>
    <mergeCell ref="IB2:IB3"/>
    <mergeCell ref="IC2:IC3"/>
    <mergeCell ref="ID2:ID3"/>
    <mergeCell ref="IE2:IE3"/>
    <mergeCell ref="IF2:IF3"/>
    <mergeCell ref="BS2:ET2"/>
    <mergeCell ref="EU2:EU3"/>
    <mergeCell ref="EV2:EV3"/>
    <mergeCell ref="EW2:EW3"/>
    <mergeCell ref="NM1:NM3"/>
    <mergeCell ref="NN1:NN3"/>
    <mergeCell ref="IM2:IM3"/>
    <mergeCell ref="IN2:IN3"/>
    <mergeCell ref="KA2:KA4"/>
    <mergeCell ref="KI2:KI4"/>
    <mergeCell ref="KJ2:KJ4"/>
    <mergeCell ref="KK2:KK4"/>
    <mergeCell ref="IG2:IG3"/>
    <mergeCell ref="IH2:IH3"/>
    <mergeCell ref="II2:II3"/>
    <mergeCell ref="IJ2:IJ3"/>
    <mergeCell ref="IK2:IK3"/>
    <mergeCell ref="IL2:IL3"/>
    <mergeCell ref="NG1:NG4"/>
    <mergeCell ref="NH1:NH4"/>
    <mergeCell ref="NI1:NI4"/>
    <mergeCell ref="NJ1:NJ4"/>
    <mergeCell ref="NK1:NK4"/>
    <mergeCell ref="NE1:NE4"/>
    <mergeCell ref="NF1:NF4"/>
    <mergeCell ref="KB1:KB4"/>
    <mergeCell ref="KC1:KC4"/>
    <mergeCell ref="KD1:K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Norm_Calculation">
                <anchor moveWithCells="1" sizeWithCells="1">
                  <from>
                    <xdr:col>364</xdr:col>
                    <xdr:colOff>9525</xdr:colOff>
                    <xdr:row>0</xdr:row>
                    <xdr:rowOff>0</xdr:rowOff>
                  </from>
                  <to>
                    <xdr:col>364</xdr:col>
                    <xdr:colOff>1047750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Norm_Calculation">
                <anchor moveWithCells="1" sizeWithCells="1">
                  <from>
                    <xdr:col>364</xdr:col>
                    <xdr:colOff>9525</xdr:colOff>
                    <xdr:row>0</xdr:row>
                    <xdr:rowOff>0</xdr:rowOff>
                  </from>
                  <to>
                    <xdr:col>364</xdr:col>
                    <xdr:colOff>1047750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utton 4">
              <controlPr defaultSize="0" print="0" autoFill="0" autoPict="0" macro="[0]!Norm_Calculation">
                <anchor moveWithCells="1" sizeWithCells="1">
                  <from>
                    <xdr:col>364</xdr:col>
                    <xdr:colOff>9525</xdr:colOff>
                    <xdr:row>0</xdr:row>
                    <xdr:rowOff>0</xdr:rowOff>
                  </from>
                  <to>
                    <xdr:col>364</xdr:col>
                    <xdr:colOff>1047750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73F0-CAF0-45C1-AC75-A422E46865AD}">
  <sheetPr codeName="Лист3"/>
  <dimension ref="A1:A2"/>
  <sheetViews>
    <sheetView workbookViewId="0">
      <selection activeCell="J18" sqref="J18"/>
    </sheetView>
  </sheetViews>
  <sheetFormatPr defaultRowHeight="15" x14ac:dyDescent="0.25"/>
  <cols>
    <col min="1" max="1" width="21.140625" customWidth="1"/>
  </cols>
  <sheetData>
    <row r="1" spans="1:1" x14ac:dyDescent="0.25">
      <c r="A1" t="s">
        <v>468</v>
      </c>
    </row>
    <row r="2" spans="1:1" x14ac:dyDescent="0.25">
      <c r="A2" t="s">
        <v>469</v>
      </c>
    </row>
  </sheetData>
  <dataValidations count="1">
    <dataValidation type="list" allowBlank="1" showInputMessage="1" showErrorMessage="1" errorTitle="Ошибка" error="Введите участок из списка" sqref="J18" xr:uid="{654EE452-EE68-4244-8761-3EBCD31CF96E}">
      <formula1>"ПКИ, кабель (внутриблочный)"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Исходные данные</vt:lpstr>
      <vt:lpstr>Статистика</vt:lpstr>
      <vt:lpstr>Статус</vt:lpstr>
      <vt:lpstr>Настройки</vt:lpstr>
      <vt:lpstr>Персональные настройки</vt:lpstr>
      <vt:lpstr>Типы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cp:lastPrinted>2019-09-05T08:20:40Z</cp:lastPrinted>
  <dcterms:created xsi:type="dcterms:W3CDTF">2015-06-05T18:19:34Z</dcterms:created>
  <dcterms:modified xsi:type="dcterms:W3CDTF">2023-09-18T07:56:28Z</dcterms:modified>
</cp:coreProperties>
</file>