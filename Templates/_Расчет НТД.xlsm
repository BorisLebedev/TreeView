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TreeView_exe\Templates\"/>
    </mc:Choice>
  </mc:AlternateContent>
  <xr:revisionPtr revIDLastSave="0" documentId="13_ncr:1_{8AADF04D-5597-488C-9DA8-833E7D0DDBA8}" xr6:coauthVersionLast="47" xr6:coauthVersionMax="47" xr10:uidLastSave="{00000000-0000-0000-0000-000000000000}"/>
  <bookViews>
    <workbookView xWindow="-28920" yWindow="30" windowWidth="29040" windowHeight="15840" tabRatio="926" activeTab="2" xr2:uid="{00000000-000D-0000-FFFF-FFFF00000000}"/>
  </bookViews>
  <sheets>
    <sheet name="НТД" sheetId="42" r:id="rId1"/>
    <sheet name="Типы" sheetId="21" r:id="rId2"/>
    <sheet name="Расчет" sheetId="15" r:id="rId3"/>
    <sheet name="ПКИ (оценка)" sheetId="14" state="hidden" r:id="rId4"/>
    <sheet name="Изделие" sheetId="20" state="hidden" r:id="rId5"/>
    <sheet name="Подкомплекс" sheetId="22" state="hidden" r:id="rId6"/>
    <sheet name="АРМ" sheetId="23" state="hidden" r:id="rId7"/>
    <sheet name="АФС" sheetId="41" state="hidden" r:id="rId8"/>
    <sheet name="Сборка механическая" sheetId="24" state="hidden" r:id="rId9"/>
    <sheet name="Сборка мех (не разборная)" sheetId="25" state="hidden" r:id="rId10"/>
    <sheet name="Сборка мех. (ПКИ)" sheetId="26" state="hidden" r:id="rId11"/>
    <sheet name="Сборка электрическая" sheetId="27" state="hidden" r:id="rId12"/>
    <sheet name="Сборка эл. с настройкой" sheetId="28" state="hidden" r:id="rId13"/>
    <sheet name="Электрический узел" sheetId="29" state="hidden" r:id="rId14"/>
    <sheet name="Механический узел" sheetId="30" state="hidden" r:id="rId15"/>
    <sheet name="Кабель" sheetId="31" state="hidden" r:id="rId16"/>
    <sheet name="Плата или ячейка" sheetId="32" state="hidden" r:id="rId17"/>
    <sheet name="Деталь" sheetId="33" state="hidden" r:id="rId18"/>
    <sheet name="Деталь (ПКИ)" sheetId="34" state="hidden" r:id="rId19"/>
    <sheet name="ПКИ" sheetId="35" state="hidden" r:id="rId20"/>
    <sheet name="СПО" sheetId="36" state="hidden" r:id="rId21"/>
    <sheet name="Комплект" sheetId="37" state="hidden" r:id="rId22"/>
    <sheet name="ЗИП" sheetId="38" state="hidden" r:id="rId23"/>
    <sheet name="Упаковка" sheetId="39" state="hidden" r:id="rId24"/>
    <sheet name="ЭД" sheetId="40" state="hidden" r:id="rId25"/>
  </sheets>
  <functionGroups builtInGroupCount="19"/>
  <definedNames>
    <definedName name="Print_Area" localSheetId="0">НТД!$A$1:$L$35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4" l="1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3" i="14" l="1"/>
  <c r="D4" i="14"/>
  <c r="D5" i="14"/>
  <c r="D2" i="14"/>
</calcChain>
</file>

<file path=xl/sharedStrings.xml><?xml version="1.0" encoding="utf-8"?>
<sst xmlns="http://schemas.openxmlformats.org/spreadsheetml/2006/main" count="1494" uniqueCount="292">
  <si>
    <t>ПКИ</t>
  </si>
  <si>
    <t>СПО</t>
  </si>
  <si>
    <t>Сокращение</t>
  </si>
  <si>
    <t>Наименование</t>
  </si>
  <si>
    <t>Кабель</t>
  </si>
  <si>
    <t>Деталь</t>
  </si>
  <si>
    <t>Механический узел</t>
  </si>
  <si>
    <t>Комплект</t>
  </si>
  <si>
    <t>-</t>
  </si>
  <si>
    <t>Разборка</t>
  </si>
  <si>
    <t>Дефектация</t>
  </si>
  <si>
    <t>Сборка</t>
  </si>
  <si>
    <t>Замена</t>
  </si>
  <si>
    <t>Настройка</t>
  </si>
  <si>
    <t>Изготовление</t>
  </si>
  <si>
    <t>Обозначение</t>
  </si>
  <si>
    <t>Наличие
трудоемкости
выполнения
операций</t>
  </si>
  <si>
    <t>Есть</t>
  </si>
  <si>
    <t>Тип</t>
  </si>
  <si>
    <t>Электрический узел</t>
  </si>
  <si>
    <t>Контроль</t>
  </si>
  <si>
    <t>Плата или ячейка</t>
  </si>
  <si>
    <t>Деталь (ПКИ)</t>
  </si>
  <si>
    <t>**</t>
  </si>
  <si>
    <t>*</t>
  </si>
  <si>
    <t>№ п/п</t>
  </si>
  <si>
    <t>Состав изделия</t>
  </si>
  <si>
    <t>Кол-во</t>
  </si>
  <si>
    <t>Децимальный
номер</t>
  </si>
  <si>
    <t>Уровень</t>
  </si>
  <si>
    <t>Операция 1</t>
  </si>
  <si>
    <t>Операция 2</t>
  </si>
  <si>
    <t>Операция 3</t>
  </si>
  <si>
    <t>Операция 4</t>
  </si>
  <si>
    <t>Тр-ть</t>
  </si>
  <si>
    <t>Настройка, регулировка</t>
  </si>
  <si>
    <t>Контроль функциональный</t>
  </si>
  <si>
    <t>Слесарно-сборочная</t>
  </si>
  <si>
    <t>К</t>
  </si>
  <si>
    <t>Операция 5</t>
  </si>
  <si>
    <t>Операция 6</t>
  </si>
  <si>
    <t>Операция 7</t>
  </si>
  <si>
    <t>Операция 8</t>
  </si>
  <si>
    <t>Операция 9</t>
  </si>
  <si>
    <t>Операция 10</t>
  </si>
  <si>
    <t>Контрольная</t>
  </si>
  <si>
    <t>Слесарная</t>
  </si>
  <si>
    <t>Отладка</t>
  </si>
  <si>
    <t>Лакирование</t>
  </si>
  <si>
    <t>Покрытие лакокрасочное</t>
  </si>
  <si>
    <t>Установка и настройка ПО/СПО</t>
  </si>
  <si>
    <t>Установка и настройка ПО</t>
  </si>
  <si>
    <t>Установка и настройка СПО</t>
  </si>
  <si>
    <t>Проверка работоспособности</t>
  </si>
  <si>
    <t>I. Техническое диагностирование изделия:</t>
  </si>
  <si>
    <t>Дефектация    1 шт.</t>
  </si>
  <si>
    <t>Трудоемкость, н/час</t>
  </si>
  <si>
    <t>Ед. изм.</t>
  </si>
  <si>
    <t>Проверка функционирования</t>
  </si>
  <si>
    <t>Проверка подключением</t>
  </si>
  <si>
    <t>Проверка внешнего вида малогабаритного ПКИ</t>
  </si>
  <si>
    <t>Проверка внешнего вида крупногабаритного ПКИ</t>
  </si>
  <si>
    <t>АРМ</t>
  </si>
  <si>
    <t>Винт</t>
  </si>
  <si>
    <t>ПЭВМ</t>
  </si>
  <si>
    <t>Жгут</t>
  </si>
  <si>
    <t>Гайка</t>
  </si>
  <si>
    <t>Ноутбук</t>
  </si>
  <si>
    <t>Провод</t>
  </si>
  <si>
    <t>Болт</t>
  </si>
  <si>
    <t>Стол</t>
  </si>
  <si>
    <t>Компьютер</t>
  </si>
  <si>
    <t>Заклепка</t>
  </si>
  <si>
    <t>Телефон</t>
  </si>
  <si>
    <t>Втулка</t>
  </si>
  <si>
    <t>Этикетка</t>
  </si>
  <si>
    <t>Антенна</t>
  </si>
  <si>
    <t>Вольтметр</t>
  </si>
  <si>
    <t>Соединиель</t>
  </si>
  <si>
    <t>Сумка</t>
  </si>
  <si>
    <t>Видеокамера</t>
  </si>
  <si>
    <t>Вилка</t>
  </si>
  <si>
    <t>Радиостанция</t>
  </si>
  <si>
    <t>Инвертор</t>
  </si>
  <si>
    <t>Шайба</t>
  </si>
  <si>
    <t>Гарнитура</t>
  </si>
  <si>
    <t>Стяжка</t>
  </si>
  <si>
    <t>Диод</t>
  </si>
  <si>
    <t>Фонарь</t>
  </si>
  <si>
    <t>Оплётка</t>
  </si>
  <si>
    <t>Труба</t>
  </si>
  <si>
    <t>Ремень</t>
  </si>
  <si>
    <t>Пластина</t>
  </si>
  <si>
    <t>Коэффициент</t>
  </si>
  <si>
    <t>Трудоемкость</t>
  </si>
  <si>
    <t>Свойство</t>
  </si>
  <si>
    <t>Минимальная трудоемкость</t>
  </si>
  <si>
    <t>Шпилька</t>
  </si>
  <si>
    <t>Защелка</t>
  </si>
  <si>
    <t>Чехол</t>
  </si>
  <si>
    <t>Шплинт</t>
  </si>
  <si>
    <t>Шурупы</t>
  </si>
  <si>
    <t>Блок</t>
  </si>
  <si>
    <t>Плата</t>
  </si>
  <si>
    <t xml:space="preserve">Проверка составных частей платы </t>
  </si>
  <si>
    <t>Проверка подложки</t>
  </si>
  <si>
    <t>Оттяжка</t>
  </si>
  <si>
    <t>Клемма</t>
  </si>
  <si>
    <t>Корпус</t>
  </si>
  <si>
    <t>Соединитель</t>
  </si>
  <si>
    <t>Средство</t>
  </si>
  <si>
    <t>Канистра</t>
  </si>
  <si>
    <t>Зажим</t>
  </si>
  <si>
    <t>Трубка</t>
  </si>
  <si>
    <t>Кант</t>
  </si>
  <si>
    <t>Разъём</t>
  </si>
  <si>
    <t>Световод</t>
  </si>
  <si>
    <t>Кронштейн</t>
  </si>
  <si>
    <t>Шуруп</t>
  </si>
  <si>
    <t>Пьезоизлучатель</t>
  </si>
  <si>
    <t>Стойка</t>
  </si>
  <si>
    <t>Скоба</t>
  </si>
  <si>
    <t>Подложка</t>
  </si>
  <si>
    <t>Выключатель</t>
  </si>
  <si>
    <t>Пружина</t>
  </si>
  <si>
    <t>Вентилято</t>
  </si>
  <si>
    <t>Решетка</t>
  </si>
  <si>
    <t>Резистор</t>
  </si>
  <si>
    <t>Заглушка</t>
  </si>
  <si>
    <t>Плоскогубцы</t>
  </si>
  <si>
    <t>Изделие</t>
  </si>
  <si>
    <t>Сборка механическая</t>
  </si>
  <si>
    <t>Нормативно-техническая документация на выполнение работ</t>
  </si>
  <si>
    <t xml:space="preserve">по сервисному обслуживанию (ремонт) изделия </t>
  </si>
  <si>
    <t>II. Операции, проводимые по оперативному восстановлению (замене) составных частей изделия</t>
  </si>
  <si>
    <r>
      <t xml:space="preserve">Изготовление 1шт.             </t>
    </r>
    <r>
      <rPr>
        <sz val="12"/>
        <color theme="1"/>
        <rFont val="Times New Roman"/>
        <family val="1"/>
        <charset val="204"/>
      </rPr>
      <t>****</t>
    </r>
  </si>
  <si>
    <t>Наименование изделия</t>
  </si>
  <si>
    <t>Сборка изделия (монтаж) после ремонта           1 шт.</t>
  </si>
  <si>
    <t>на территории исполнителя                   1шт.</t>
  </si>
  <si>
    <t>Ремонт
на территории</t>
  </si>
  <si>
    <t>Заказчика</t>
  </si>
  <si>
    <t>Исполнителя</t>
  </si>
  <si>
    <t>Справочные данные</t>
  </si>
  <si>
    <t>Итоговые данные</t>
  </si>
  <si>
    <t>Сборка мех. (ПКИ)</t>
  </si>
  <si>
    <t>Сборка электрическая</t>
  </si>
  <si>
    <t>Сборка эл. с настройкой</t>
  </si>
  <si>
    <t>ЗИП</t>
  </si>
  <si>
    <t>Упаковка</t>
  </si>
  <si>
    <t>ЭД</t>
  </si>
  <si>
    <t>Вид
работ</t>
  </si>
  <si>
    <t>Предельное
значение</t>
  </si>
  <si>
    <t>Наименования суммируемых операций из расшифровок и их коэффициенты (ax+by+cz)</t>
  </si>
  <si>
    <t>min</t>
  </si>
  <si>
    <t>max</t>
  </si>
  <si>
    <t>Электромонтаж</t>
  </si>
  <si>
    <t>Сборочно-монтажная</t>
  </si>
  <si>
    <t>Ремонт не возможен</t>
  </si>
  <si>
    <t>Ремонт возможен только на предприятии Исполнителя</t>
  </si>
  <si>
    <t>Подкомплекс</t>
  </si>
  <si>
    <t>Сборка мех (не разборная)</t>
  </si>
  <si>
    <t>Ремонтно-восстановительные работы ***</t>
  </si>
  <si>
    <t>Разборка изделия (демонтаж) перед ремонтом 
1 шт.</t>
  </si>
  <si>
    <t>Настройка (регулировка, отладка),    1шт. 
***</t>
  </si>
  <si>
    <t>на территории заказчика                1шт.</t>
  </si>
  <si>
    <t>АФС</t>
  </si>
  <si>
    <t>Трудоёмкость оперативного восстановления (замены) составных частей изделия на 1 ед., н/ч</t>
  </si>
  <si>
    <t>Ед. изм</t>
  </si>
  <si>
    <t>Сводный файл трудоемкостей.xlsm</t>
  </si>
  <si>
    <t xml:space="preserve">"-" время ремонтно-восстановительных работ формируется на основании данных по замене (разборке и сборке) ремонтируемой позиции </t>
  </si>
  <si>
    <t>* Ремонт не возможен</t>
  </si>
  <si>
    <t>** Ремонт возможен только на предприятии Исполнителя</t>
  </si>
  <si>
    <t>*** Указана предельно допустимая трудоемкость выполнения работ</t>
  </si>
  <si>
    <t>**** С учетом трудоемкости на изготовление узлов, блоков, ТЭЗов, настройку (регулировку, отладку), входной контроль</t>
  </si>
  <si>
    <t>Допускается замена ПКИ на аналоги с характеристиками, не ухудшающие характеристики изделия в целом</t>
  </si>
  <si>
    <t>III. Испытания изделия</t>
  </si>
  <si>
    <t xml:space="preserve">IV.Операции технического обслуживания на изделии: </t>
  </si>
  <si>
    <r>
      <t>Проведение ТО-2 НАИМЕНОВАНИЕ</t>
    </r>
    <r>
      <rPr>
        <sz val="12"/>
        <color rgb="FFFF0000"/>
        <rFont val="Times New Roman"/>
        <family val="1"/>
        <charset val="204"/>
      </rPr>
      <t xml:space="preserve"> </t>
    </r>
    <r>
      <rPr>
        <sz val="12"/>
        <color theme="1"/>
        <rFont val="Times New Roman"/>
        <family val="1"/>
        <charset val="204"/>
      </rPr>
      <t>согласно Руководству по эксплуатации ДЕЦИМАЛЬНЫЙ НОМЕР</t>
    </r>
  </si>
  <si>
    <t>V. Расходные материалы для выполнения технического обслуживания изделия в объеме ТО:</t>
  </si>
  <si>
    <t>Примечание</t>
  </si>
  <si>
    <t>VI. Работы по организации и обеспечению сервисного обслуживания, контролю качества и сдаче-приемке работ на изделии:</t>
  </si>
  <si>
    <t>№ п.п.</t>
  </si>
  <si>
    <t>Наименование работ</t>
  </si>
  <si>
    <t>Труд. н/ч</t>
  </si>
  <si>
    <t>1</t>
  </si>
  <si>
    <t>Время ремонтновосстановительных работ формируется на основании данных по замене (разборке и сборке) ремонтируемой позиции</t>
  </si>
  <si>
    <t>Смартфон</t>
  </si>
  <si>
    <t>Фотоаппарат</t>
  </si>
  <si>
    <t>Блокгромкоговорителя</t>
  </si>
  <si>
    <t>Аппараттелефонный</t>
  </si>
  <si>
    <t>Автоматзащиты</t>
  </si>
  <si>
    <t>Светильникнастольный</t>
  </si>
  <si>
    <t>Мультиметр</t>
  </si>
  <si>
    <t>Блокпитания</t>
  </si>
  <si>
    <t>Объектив</t>
  </si>
  <si>
    <t>Наборотверток</t>
  </si>
  <si>
    <t>Диван</t>
  </si>
  <si>
    <t>Ящик</t>
  </si>
  <si>
    <t>Розетка</t>
  </si>
  <si>
    <t>Наконечник</t>
  </si>
  <si>
    <t>Контакт</t>
  </si>
  <si>
    <t>Шнур</t>
  </si>
  <si>
    <t>Карабин</t>
  </si>
  <si>
    <t>Нож</t>
  </si>
  <si>
    <t>Пинцет</t>
  </si>
  <si>
    <t>Колодка</t>
  </si>
  <si>
    <t>Тумблер</t>
  </si>
  <si>
    <t>Лента</t>
  </si>
  <si>
    <t>Кувалда</t>
  </si>
  <si>
    <t>Ручка</t>
  </si>
  <si>
    <t>Механизмповорота</t>
  </si>
  <si>
    <t>Аппаратпередачи</t>
  </si>
  <si>
    <t>Пультуправления</t>
  </si>
  <si>
    <t>Платапечатная</t>
  </si>
  <si>
    <t>Табличка</t>
  </si>
  <si>
    <t>Инжекторпитания</t>
  </si>
  <si>
    <t>Фланец</t>
  </si>
  <si>
    <t>Плита</t>
  </si>
  <si>
    <t>Панель</t>
  </si>
  <si>
    <t>Основание</t>
  </si>
  <si>
    <t>Кожух</t>
  </si>
  <si>
    <t>Крышка</t>
  </si>
  <si>
    <t>Прижим</t>
  </si>
  <si>
    <t>Обтекатель</t>
  </si>
  <si>
    <t>Диск</t>
  </si>
  <si>
    <t>Прокладка</t>
  </si>
  <si>
    <t>Пробка</t>
  </si>
  <si>
    <t>Радиатор</t>
  </si>
  <si>
    <t>Профиль</t>
  </si>
  <si>
    <t>Площадка</t>
  </si>
  <si>
    <t>Уголок</t>
  </si>
  <si>
    <t>Опорно-поворотноеустройство</t>
  </si>
  <si>
    <t>Мачта</t>
  </si>
  <si>
    <t>Опора</t>
  </si>
  <si>
    <t>Платаиндикации</t>
  </si>
  <si>
    <t>Выключательавтоматический</t>
  </si>
  <si>
    <t>Наклейка</t>
  </si>
  <si>
    <t>Шильд</t>
  </si>
  <si>
    <t>Шлейф</t>
  </si>
  <si>
    <t>Аккумуляторнаябатарея</t>
  </si>
  <si>
    <t>Катушка</t>
  </si>
  <si>
    <t>Комплектштырейзаземления</t>
  </si>
  <si>
    <t>Трансформаторразделительный</t>
  </si>
  <si>
    <t>Цапфа</t>
  </si>
  <si>
    <t>Ось</t>
  </si>
  <si>
    <t>Кол</t>
  </si>
  <si>
    <t>Кольцо</t>
  </si>
  <si>
    <t>Пруток</t>
  </si>
  <si>
    <t>Бокорезы</t>
  </si>
  <si>
    <t>Набордляпаяльныхработ</t>
  </si>
  <si>
    <t>Комплектключей</t>
  </si>
  <si>
    <t>Проставка</t>
  </si>
  <si>
    <t>Лист</t>
  </si>
  <si>
    <t>Ребро</t>
  </si>
  <si>
    <t>Угольник</t>
  </si>
  <si>
    <t>Доска</t>
  </si>
  <si>
    <t>Зацеп</t>
  </si>
  <si>
    <t>Полка</t>
  </si>
  <si>
    <t>Упор</t>
  </si>
  <si>
    <t>Стопор</t>
  </si>
  <si>
    <t>Экран</t>
  </si>
  <si>
    <t>Косынка</t>
  </si>
  <si>
    <t>Оплетка</t>
  </si>
  <si>
    <t>Автомобиль</t>
  </si>
  <si>
    <t>Фильтр</t>
  </si>
  <si>
    <t>Вентилятор</t>
  </si>
  <si>
    <t>ЖК-экран</t>
  </si>
  <si>
    <t>Переключатель</t>
  </si>
  <si>
    <t>Шина</t>
  </si>
  <si>
    <t>Сетевойразъём</t>
  </si>
  <si>
    <t>Платапитания</t>
  </si>
  <si>
    <t>Шильдик</t>
  </si>
  <si>
    <t>Бирка</t>
  </si>
  <si>
    <t>Скотч</t>
  </si>
  <si>
    <t>Кромка</t>
  </si>
  <si>
    <t>Сухарь</t>
  </si>
  <si>
    <t>Направляющая</t>
  </si>
  <si>
    <t>Шкант</t>
  </si>
  <si>
    <t>Петля</t>
  </si>
  <si>
    <t>Перемычка</t>
  </si>
  <si>
    <t>Планка</t>
  </si>
  <si>
    <t>Ролик</t>
  </si>
  <si>
    <t>Подшипник</t>
  </si>
  <si>
    <t>Оси</t>
  </si>
  <si>
    <t>Крюк</t>
  </si>
  <si>
    <t>Канат</t>
  </si>
  <si>
    <t>Колесо</t>
  </si>
  <si>
    <t>Генератор</t>
  </si>
  <si>
    <t>Боковина</t>
  </si>
  <si>
    <t>Панелькоммутационная</t>
  </si>
  <si>
    <t>Клин</t>
  </si>
  <si>
    <t>Крепление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</si>
</sst>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)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Arial"/>
      <family val="2"/>
      <charset val="204"/>
    </font>
    <font>
      <sz val="10"/>
      <name val="Arial Cyr"/>
      <charset val="204"/>
    </font>
    <font>
      <sz val="10"/>
      <name val="Times New Roman"/>
      <family val="1"/>
      <charset val="204"/>
    </font>
    <font>
      <sz val="10"/>
      <name val="Helv"/>
      <charset val="204"/>
    </font>
    <font>
      <sz val="10"/>
      <name val="Arial"/>
      <family val="2"/>
      <charset val="204"/>
    </font>
    <font>
      <sz val="10"/>
      <name val="Helv"/>
    </font>
    <font>
      <sz val="10"/>
      <name val="Arial Cyr"/>
      <family val="2"/>
      <charset val="204"/>
    </font>
    <font>
      <b/>
      <sz val="10"/>
      <color indexed="9"/>
      <name val="Verdana"/>
      <family val="2"/>
      <charset val="204"/>
    </font>
    <font>
      <sz val="10"/>
      <color indexed="9"/>
      <name val="Arial"/>
      <family val="2"/>
      <charset val="204"/>
    </font>
    <font>
      <sz val="10"/>
      <color indexed="8"/>
      <name val="Verdana"/>
      <family val="2"/>
      <charset val="204"/>
    </font>
    <font>
      <sz val="10"/>
      <name val="Courier"/>
      <family val="1"/>
      <charset val="204"/>
    </font>
    <font>
      <sz val="8"/>
      <name val="Arial"/>
      <family val="2"/>
      <charset val="204"/>
    </font>
    <font>
      <sz val="12"/>
      <color rgb="FF00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sz val="12"/>
      <color rgb="FFFF0000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60">
    <xf numFmtId="0" fontId="0" fillId="0" borderId="0"/>
    <xf numFmtId="0" fontId="12" fillId="0" borderId="0"/>
    <xf numFmtId="0" fontId="8" fillId="0" borderId="0"/>
    <xf numFmtId="0" fontId="14" fillId="0" borderId="0">
      <alignment vertical="top"/>
    </xf>
    <xf numFmtId="0" fontId="19" fillId="0" borderId="0"/>
    <xf numFmtId="0" fontId="20" fillId="0" borderId="0"/>
    <xf numFmtId="0" fontId="19" fillId="0" borderId="0"/>
    <xf numFmtId="0" fontId="17" fillId="0" borderId="0"/>
    <xf numFmtId="0" fontId="16" fillId="0" borderId="0" applyFont="0" applyFill="0" applyBorder="0" applyAlignment="0" applyProtection="0"/>
    <xf numFmtId="0" fontId="19" fillId="0" borderId="0"/>
    <xf numFmtId="2" fontId="21" fillId="3" borderId="2" applyProtection="0"/>
    <xf numFmtId="2" fontId="21" fillId="3" borderId="2" applyProtection="0"/>
    <xf numFmtId="2" fontId="22" fillId="0" borderId="0" applyFill="0" applyBorder="0" applyProtection="0"/>
    <xf numFmtId="2" fontId="23" fillId="0" borderId="0" applyFill="0" applyBorder="0" applyProtection="0"/>
    <xf numFmtId="2" fontId="23" fillId="4" borderId="2" applyProtection="0"/>
    <xf numFmtId="2" fontId="23" fillId="5" borderId="2" applyProtection="0"/>
    <xf numFmtId="2" fontId="23" fillId="6" borderId="2" applyProtection="0"/>
    <xf numFmtId="2" fontId="23" fillId="6" borderId="2" applyProtection="0">
      <alignment horizontal="center"/>
    </xf>
    <xf numFmtId="2" fontId="23" fillId="5" borderId="2" applyProtection="0">
      <alignment horizontal="center"/>
    </xf>
    <xf numFmtId="0" fontId="8" fillId="0" borderId="0"/>
    <xf numFmtId="0" fontId="1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3" fillId="0" borderId="0"/>
    <xf numFmtId="0" fontId="15" fillId="0" borderId="0"/>
    <xf numFmtId="0" fontId="8" fillId="0" borderId="0"/>
    <xf numFmtId="0" fontId="8" fillId="0" borderId="0"/>
    <xf numFmtId="0" fontId="8" fillId="0" borderId="0"/>
    <xf numFmtId="0" fontId="15" fillId="0" borderId="0"/>
    <xf numFmtId="0" fontId="13" fillId="0" borderId="0"/>
    <xf numFmtId="0" fontId="15" fillId="0" borderId="0"/>
    <xf numFmtId="0" fontId="18" fillId="0" borderId="0"/>
    <xf numFmtId="0" fontId="18" fillId="0" borderId="0"/>
    <xf numFmtId="164" fontId="24" fillId="0" borderId="0"/>
    <xf numFmtId="0" fontId="2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9" fillId="0" borderId="0"/>
    <xf numFmtId="0" fontId="12" fillId="0" borderId="0"/>
    <xf numFmtId="0" fontId="8" fillId="0" borderId="0"/>
    <xf numFmtId="0" fontId="7" fillId="0" borderId="0"/>
    <xf numFmtId="0" fontId="30" fillId="0" borderId="0"/>
    <xf numFmtId="0" fontId="5" fillId="0" borderId="0"/>
    <xf numFmtId="0" fontId="15" fillId="0" borderId="0"/>
    <xf numFmtId="0" fontId="29" fillId="0" borderId="0"/>
    <xf numFmtId="0" fontId="29" fillId="0" borderId="0"/>
    <xf numFmtId="0" fontId="5" fillId="0" borderId="0"/>
    <xf numFmtId="0" fontId="29" fillId="0" borderId="0"/>
    <xf numFmtId="0" fontId="3" fillId="0" borderId="0"/>
    <xf numFmtId="0" fontId="3" fillId="0" borderId="0"/>
    <xf numFmtId="0" fontId="2" fillId="0" borderId="0"/>
  </cellStyleXfs>
  <cellXfs count="140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horizontal="center" vertical="center"/>
    </xf>
    <xf numFmtId="0" fontId="7" fillId="0" borderId="1" xfId="49" applyBorder="1" applyAlignment="1">
      <alignment horizontal="center" vertical="center" wrapText="1"/>
    </xf>
    <xf numFmtId="0" fontId="7" fillId="0" borderId="0" xfId="49" applyAlignment="1">
      <alignment vertical="center" wrapText="1"/>
    </xf>
    <xf numFmtId="0" fontId="7" fillId="0" borderId="1" xfId="49" applyBorder="1" applyAlignment="1">
      <alignment vertical="center" wrapText="1"/>
    </xf>
    <xf numFmtId="0" fontId="9" fillId="7" borderId="1" xfId="49" applyFont="1" applyFill="1" applyBorder="1" applyAlignment="1">
      <alignment horizontal="center" vertical="center" wrapText="1"/>
    </xf>
    <xf numFmtId="0" fontId="9" fillId="2" borderId="1" xfId="49" applyFont="1" applyFill="1" applyBorder="1" applyAlignment="1">
      <alignment horizontal="center" vertical="center" wrapText="1"/>
    </xf>
    <xf numFmtId="0" fontId="28" fillId="2" borderId="1" xfId="49" applyFont="1" applyFill="1" applyBorder="1" applyAlignment="1">
      <alignment horizontal="center" vertical="center" wrapText="1"/>
    </xf>
    <xf numFmtId="0" fontId="6" fillId="0" borderId="1" xfId="49" applyFont="1" applyBorder="1" applyAlignment="1">
      <alignment vertical="center" wrapText="1"/>
    </xf>
    <xf numFmtId="0" fontId="4" fillId="0" borderId="0" xfId="49" applyFont="1" applyAlignment="1">
      <alignment vertical="center" wrapText="1"/>
    </xf>
    <xf numFmtId="2" fontId="0" fillId="0" borderId="0" xfId="0" applyNumberFormat="1" applyAlignment="1">
      <alignment horizontal="center"/>
    </xf>
    <xf numFmtId="0" fontId="11" fillId="0" borderId="0" xfId="0" applyFont="1"/>
    <xf numFmtId="0" fontId="0" fillId="0" borderId="10" xfId="0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2" fontId="9" fillId="8" borderId="10" xfId="0" applyNumberFormat="1" applyFont="1" applyFill="1" applyBorder="1" applyAlignment="1">
      <alignment horizontal="center" vertical="center" textRotation="90"/>
    </xf>
    <xf numFmtId="0" fontId="0" fillId="0" borderId="10" xfId="0" applyBorder="1" applyAlignment="1">
      <alignment horizontal="left" vertical="center"/>
    </xf>
    <xf numFmtId="0" fontId="10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11" fillId="8" borderId="10" xfId="0" applyFont="1" applyFill="1" applyBorder="1" applyAlignment="1">
      <alignment vertical="center" textRotation="90"/>
    </xf>
    <xf numFmtId="0" fontId="11" fillId="9" borderId="10" xfId="0" applyFont="1" applyFill="1" applyBorder="1" applyAlignment="1">
      <alignment vertical="center" textRotation="90"/>
    </xf>
    <xf numFmtId="0" fontId="11" fillId="8" borderId="10" xfId="0" applyFont="1" applyFill="1" applyBorder="1" applyAlignment="1">
      <alignment horizontal="center" textRotation="90"/>
    </xf>
    <xf numFmtId="0" fontId="11" fillId="9" borderId="10" xfId="0" applyFont="1" applyFill="1" applyBorder="1" applyAlignment="1">
      <alignment horizontal="center" textRotation="90"/>
    </xf>
    <xf numFmtId="0" fontId="0" fillId="0" borderId="1" xfId="0" applyBorder="1" applyAlignment="1">
      <alignment horizontal="center" vertical="center"/>
    </xf>
    <xf numFmtId="0" fontId="27" fillId="0" borderId="0" xfId="59" applyFont="1" applyAlignment="1">
      <alignment horizontal="center"/>
    </xf>
    <xf numFmtId="0" fontId="31" fillId="0" borderId="0" xfId="59" applyFont="1"/>
    <xf numFmtId="0" fontId="31" fillId="0" borderId="0" xfId="59" applyFont="1" applyAlignment="1">
      <alignment vertical="justify"/>
    </xf>
    <xf numFmtId="49" fontId="31" fillId="0" borderId="1" xfId="59" applyNumberFormat="1" applyFont="1" applyBorder="1" applyAlignment="1">
      <alignment horizontal="center" vertical="center" wrapText="1"/>
    </xf>
    <xf numFmtId="0" fontId="31" fillId="0" borderId="1" xfId="59" applyFont="1" applyBorder="1" applyAlignment="1">
      <alignment horizontal="center" vertical="center" wrapText="1"/>
    </xf>
    <xf numFmtId="0" fontId="26" fillId="0" borderId="1" xfId="59" applyFont="1" applyBorder="1" applyAlignment="1">
      <alignment horizontal="center" vertical="center" wrapText="1"/>
    </xf>
    <xf numFmtId="0" fontId="31" fillId="0" borderId="4" xfId="59" applyFont="1" applyBorder="1" applyAlignment="1">
      <alignment horizontal="center" vertical="center" wrapText="1"/>
    </xf>
    <xf numFmtId="0" fontId="31" fillId="0" borderId="0" xfId="59" applyFont="1" applyAlignment="1">
      <alignment horizontal="center"/>
    </xf>
    <xf numFmtId="0" fontId="31" fillId="0" borderId="0" xfId="59" applyFont="1" applyAlignment="1">
      <alignment horizontal="right" vertical="center"/>
    </xf>
    <xf numFmtId="49" fontId="31" fillId="0" borderId="0" xfId="59" applyNumberFormat="1" applyFont="1" applyAlignment="1">
      <alignment horizontal="left" vertical="center" wrapText="1"/>
    </xf>
    <xf numFmtId="0" fontId="31" fillId="0" borderId="0" xfId="59" applyFont="1" applyAlignment="1">
      <alignment horizontal="center" vertical="justify"/>
    </xf>
    <xf numFmtId="49" fontId="31" fillId="0" borderId="1" xfId="59" applyNumberFormat="1" applyFont="1" applyBorder="1" applyAlignment="1">
      <alignment horizontal="center" vertical="justify" wrapText="1"/>
    </xf>
    <xf numFmtId="0" fontId="31" fillId="0" borderId="1" xfId="59" applyFont="1" applyBorder="1" applyAlignment="1">
      <alignment horizontal="center" vertical="justify" wrapText="1"/>
    </xf>
    <xf numFmtId="49" fontId="31" fillId="0" borderId="1" xfId="47" applyNumberFormat="1" applyFont="1" applyBorder="1" applyAlignment="1">
      <alignment horizontal="center" vertical="justify" wrapText="1"/>
    </xf>
    <xf numFmtId="0" fontId="31" fillId="0" borderId="1" xfId="47" applyFont="1" applyBorder="1" applyAlignment="1">
      <alignment horizontal="center" vertical="justify" wrapText="1"/>
    </xf>
    <xf numFmtId="0" fontId="31" fillId="0" borderId="9" xfId="47" applyFont="1" applyBorder="1" applyAlignment="1">
      <alignment horizontal="center" vertical="justify" wrapText="1"/>
    </xf>
    <xf numFmtId="49" fontId="31" fillId="0" borderId="0" xfId="59" applyNumberFormat="1" applyFont="1" applyAlignment="1">
      <alignment vertical="justify"/>
    </xf>
    <xf numFmtId="0" fontId="26" fillId="0" borderId="1" xfId="0" applyFont="1" applyBorder="1" applyAlignment="1">
      <alignment horizontal="center" vertical="center" wrapText="1"/>
    </xf>
    <xf numFmtId="49" fontId="31" fillId="0" borderId="0" xfId="59" applyNumberFormat="1" applyFont="1" applyAlignment="1">
      <alignment vertical="center"/>
    </xf>
    <xf numFmtId="0" fontId="31" fillId="0" borderId="0" xfId="59" applyFont="1" applyAlignment="1">
      <alignment horizontal="left"/>
    </xf>
    <xf numFmtId="0" fontId="1" fillId="0" borderId="1" xfId="49" applyFont="1" applyBorder="1" applyAlignment="1">
      <alignment vertical="center" wrapText="1"/>
    </xf>
    <xf numFmtId="0" fontId="31" fillId="0" borderId="0" xfId="59" applyFont="1" applyAlignment="1">
      <alignment horizontal="center" vertical="center"/>
    </xf>
    <xf numFmtId="0" fontId="26" fillId="0" borderId="16" xfId="59" applyFont="1" applyBorder="1" applyAlignment="1">
      <alignment horizontal="left" vertical="center" wrapText="1"/>
    </xf>
    <xf numFmtId="0" fontId="26" fillId="0" borderId="16" xfId="59" applyFont="1" applyBorder="1" applyAlignment="1">
      <alignment horizontal="center" vertical="center" wrapText="1"/>
    </xf>
    <xf numFmtId="0" fontId="31" fillId="0" borderId="16" xfId="59" applyFont="1" applyBorder="1" applyAlignment="1">
      <alignment horizontal="center" vertical="center" wrapText="1"/>
    </xf>
    <xf numFmtId="49" fontId="31" fillId="0" borderId="16" xfId="59" applyNumberFormat="1" applyFont="1" applyBorder="1" applyAlignment="1">
      <alignment horizontal="left" vertical="center" wrapText="1"/>
    </xf>
    <xf numFmtId="0" fontId="27" fillId="0" borderId="0" xfId="59" applyFont="1" applyAlignment="1">
      <alignment horizontal="center" vertical="center"/>
    </xf>
    <xf numFmtId="0" fontId="31" fillId="0" borderId="0" xfId="59" applyFont="1" applyAlignment="1">
      <alignment horizontal="center" vertical="center"/>
    </xf>
    <xf numFmtId="0" fontId="31" fillId="0" borderId="3" xfId="59" applyFont="1" applyBorder="1" applyAlignment="1">
      <alignment vertical="center"/>
    </xf>
    <xf numFmtId="0" fontId="32" fillId="0" borderId="4" xfId="59" applyFont="1" applyBorder="1" applyAlignment="1">
      <alignment horizontal="left" vertical="center" wrapText="1"/>
    </xf>
    <xf numFmtId="0" fontId="32" fillId="0" borderId="7" xfId="59" applyFont="1" applyBorder="1" applyAlignment="1">
      <alignment horizontal="left" vertical="center" wrapText="1"/>
    </xf>
    <xf numFmtId="0" fontId="32" fillId="0" borderId="9" xfId="59" applyFont="1" applyBorder="1" applyAlignment="1">
      <alignment horizontal="left" vertical="center" wrapText="1"/>
    </xf>
    <xf numFmtId="0" fontId="32" fillId="0" borderId="1" xfId="59" applyFont="1" applyBorder="1" applyAlignment="1">
      <alignment horizontal="center" vertical="center" wrapText="1"/>
    </xf>
    <xf numFmtId="0" fontId="31" fillId="0" borderId="0" xfId="59" applyFont="1" applyAlignment="1">
      <alignment vertical="justify"/>
    </xf>
    <xf numFmtId="0" fontId="31" fillId="0" borderId="4" xfId="59" applyFont="1" applyBorder="1" applyAlignment="1">
      <alignment horizontal="left" vertical="center"/>
    </xf>
    <xf numFmtId="0" fontId="31" fillId="0" borderId="7" xfId="59" applyFont="1" applyBorder="1" applyAlignment="1">
      <alignment horizontal="left" vertical="center"/>
    </xf>
    <xf numFmtId="0" fontId="31" fillId="0" borderId="9" xfId="59" applyFont="1" applyBorder="1" applyAlignment="1">
      <alignment horizontal="left" vertical="center"/>
    </xf>
    <xf numFmtId="0" fontId="31" fillId="0" borderId="1" xfId="59" applyFont="1" applyBorder="1" applyAlignment="1">
      <alignment horizontal="center" vertical="center"/>
    </xf>
    <xf numFmtId="0" fontId="31" fillId="0" borderId="0" xfId="59" applyFont="1"/>
    <xf numFmtId="49" fontId="31" fillId="0" borderId="1" xfId="59" applyNumberFormat="1" applyFont="1" applyBorder="1" applyAlignment="1">
      <alignment horizontal="center" vertical="center" wrapText="1"/>
    </xf>
    <xf numFmtId="0" fontId="31" fillId="0" borderId="12" xfId="59" applyFont="1" applyBorder="1" applyAlignment="1">
      <alignment horizontal="center" vertical="center" wrapText="1"/>
    </xf>
    <xf numFmtId="0" fontId="31" fillId="0" borderId="8" xfId="59" applyFont="1" applyBorder="1" applyAlignment="1">
      <alignment horizontal="center" vertical="center" wrapText="1"/>
    </xf>
    <xf numFmtId="0" fontId="31" fillId="0" borderId="13" xfId="59" applyFont="1" applyBorder="1" applyAlignment="1">
      <alignment horizontal="center" vertical="center" wrapText="1"/>
    </xf>
    <xf numFmtId="0" fontId="31" fillId="0" borderId="14" xfId="59" applyFont="1" applyBorder="1" applyAlignment="1">
      <alignment horizontal="center" vertical="center" wrapText="1"/>
    </xf>
    <xf numFmtId="0" fontId="31" fillId="0" borderId="3" xfId="59" applyFont="1" applyBorder="1" applyAlignment="1">
      <alignment horizontal="center" vertical="center" wrapText="1"/>
    </xf>
    <xf numFmtId="0" fontId="31" fillId="0" borderId="15" xfId="59" applyFont="1" applyBorder="1" applyAlignment="1">
      <alignment horizontal="center" vertical="center" wrapText="1"/>
    </xf>
    <xf numFmtId="0" fontId="31" fillId="0" borderId="1" xfId="59" applyFont="1" applyBorder="1" applyAlignment="1">
      <alignment horizontal="center" vertical="center" wrapText="1"/>
    </xf>
    <xf numFmtId="0" fontId="26" fillId="0" borderId="1" xfId="59" applyFont="1" applyBorder="1" applyAlignment="1">
      <alignment horizontal="center" vertical="center" wrapText="1"/>
    </xf>
    <xf numFmtId="0" fontId="26" fillId="0" borderId="4" xfId="59" applyFont="1" applyBorder="1" applyAlignment="1">
      <alignment horizontal="center" vertical="center" wrapText="1"/>
    </xf>
    <xf numFmtId="0" fontId="31" fillId="0" borderId="8" xfId="59" applyFont="1" applyBorder="1"/>
    <xf numFmtId="0" fontId="31" fillId="0" borderId="0" xfId="59" applyFont="1" applyAlignment="1">
      <alignment horizontal="left" vertical="justify"/>
    </xf>
    <xf numFmtId="0" fontId="31" fillId="0" borderId="0" xfId="59" applyFont="1" applyAlignment="1">
      <alignment vertical="center"/>
    </xf>
    <xf numFmtId="0" fontId="31" fillId="0" borderId="4" xfId="59" applyFont="1" applyBorder="1" applyAlignment="1">
      <alignment horizontal="center" vertical="justify" wrapText="1"/>
    </xf>
    <xf numFmtId="0" fontId="31" fillId="0" borderId="7" xfId="59" applyFont="1" applyBorder="1" applyAlignment="1">
      <alignment horizontal="center" vertical="justify" wrapText="1"/>
    </xf>
    <xf numFmtId="0" fontId="31" fillId="0" borderId="9" xfId="59" applyFont="1" applyBorder="1" applyAlignment="1">
      <alignment horizontal="center" vertical="justify" wrapText="1"/>
    </xf>
    <xf numFmtId="0" fontId="32" fillId="0" borderId="0" xfId="59" applyFont="1" applyAlignment="1">
      <alignment vertical="center"/>
    </xf>
    <xf numFmtId="0" fontId="35" fillId="0" borderId="0" xfId="59" applyFont="1" applyAlignment="1">
      <alignment vertical="center"/>
    </xf>
    <xf numFmtId="0" fontId="27" fillId="0" borderId="0" xfId="59" applyFont="1" applyAlignment="1">
      <alignment vertical="justify"/>
    </xf>
    <xf numFmtId="0" fontId="31" fillId="0" borderId="0" xfId="59" applyFont="1" applyAlignment="1">
      <alignment horizontal="left" vertical="center" wrapText="1"/>
    </xf>
    <xf numFmtId="0" fontId="31" fillId="0" borderId="0" xfId="59" applyFont="1" applyAlignment="1">
      <alignment horizontal="center" vertical="center" wrapText="1"/>
    </xf>
    <xf numFmtId="0" fontId="31" fillId="0" borderId="3" xfId="59" applyFont="1" applyBorder="1" applyAlignment="1">
      <alignment horizontal="left" vertical="justify" wrapText="1"/>
    </xf>
    <xf numFmtId="0" fontId="31" fillId="0" borderId="4" xfId="59" applyFont="1" applyBorder="1" applyAlignment="1">
      <alignment vertical="center" wrapText="1"/>
    </xf>
    <xf numFmtId="0" fontId="31" fillId="0" borderId="7" xfId="59" applyFont="1" applyBorder="1" applyAlignment="1">
      <alignment vertical="center" wrapText="1"/>
    </xf>
    <xf numFmtId="0" fontId="31" fillId="0" borderId="9" xfId="59" applyFont="1" applyBorder="1" applyAlignment="1">
      <alignment vertical="center" wrapText="1"/>
    </xf>
    <xf numFmtId="0" fontId="31" fillId="0" borderId="4" xfId="47" applyFont="1" applyBorder="1" applyAlignment="1">
      <alignment horizontal="left" vertical="justify" wrapText="1"/>
    </xf>
    <xf numFmtId="0" fontId="31" fillId="0" borderId="7" xfId="47" applyFont="1" applyBorder="1" applyAlignment="1">
      <alignment horizontal="left" vertical="justify" wrapText="1"/>
    </xf>
    <xf numFmtId="0" fontId="31" fillId="0" borderId="9" xfId="47" applyFont="1" applyBorder="1" applyAlignment="1">
      <alignment horizontal="left" vertical="justify" wrapText="1"/>
    </xf>
    <xf numFmtId="0" fontId="31" fillId="0" borderId="4" xfId="59" applyFont="1" applyBorder="1" applyAlignment="1">
      <alignment horizontal="center" vertical="justify"/>
    </xf>
    <xf numFmtId="0" fontId="31" fillId="0" borderId="7" xfId="59" applyFont="1" applyBorder="1" applyAlignment="1">
      <alignment horizontal="center" vertical="justify"/>
    </xf>
    <xf numFmtId="0" fontId="31" fillId="0" borderId="9" xfId="59" applyFont="1" applyBorder="1" applyAlignment="1">
      <alignment horizontal="center" vertical="justify"/>
    </xf>
    <xf numFmtId="0" fontId="31" fillId="0" borderId="0" xfId="59" applyFont="1" applyAlignment="1">
      <alignment horizontal="left" vertical="justify" wrapText="1"/>
    </xf>
    <xf numFmtId="0" fontId="31" fillId="0" borderId="1" xfId="59" applyFont="1" applyBorder="1" applyAlignment="1">
      <alignment horizontal="center" vertical="justify" wrapText="1"/>
    </xf>
    <xf numFmtId="2" fontId="9" fillId="8" borderId="5" xfId="0" applyNumberFormat="1" applyFont="1" applyFill="1" applyBorder="1" applyAlignment="1">
      <alignment horizontal="center" vertical="center" textRotation="90"/>
    </xf>
    <xf numFmtId="2" fontId="9" fillId="8" borderId="6" xfId="0" applyNumberFormat="1" applyFont="1" applyFill="1" applyBorder="1" applyAlignment="1">
      <alignment horizontal="center" vertical="center" textRotation="90"/>
    </xf>
    <xf numFmtId="0" fontId="9" fillId="0" borderId="0" xfId="0" applyFont="1" applyAlignment="1">
      <alignment horizontal="center" vertical="center" textRotation="90"/>
    </xf>
    <xf numFmtId="0" fontId="9" fillId="0" borderId="3" xfId="0" applyFont="1" applyBorder="1" applyAlignment="1">
      <alignment horizontal="center" vertical="center" textRotation="90"/>
    </xf>
    <xf numFmtId="0" fontId="9" fillId="0" borderId="0" xfId="0" applyFont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2" fontId="9" fillId="8" borderId="4" xfId="0" applyNumberFormat="1" applyFont="1" applyFill="1" applyBorder="1" applyAlignment="1">
      <alignment horizontal="center" vertical="center"/>
    </xf>
    <xf numFmtId="2" fontId="9" fillId="8" borderId="9" xfId="0" applyNumberFormat="1" applyFont="1" applyFill="1" applyBorder="1" applyAlignment="1">
      <alignment horizontal="center" vertical="center"/>
    </xf>
    <xf numFmtId="2" fontId="9" fillId="8" borderId="4" xfId="0" applyNumberFormat="1" applyFont="1" applyFill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9" borderId="10" xfId="0" applyFont="1" applyFill="1" applyBorder="1" applyAlignment="1">
      <alignment horizontal="center" vertical="center"/>
    </xf>
    <xf numFmtId="49" fontId="11" fillId="0" borderId="10" xfId="0" applyNumberFormat="1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textRotation="90"/>
    </xf>
    <xf numFmtId="0" fontId="11" fillId="9" borderId="10" xfId="0" applyFont="1" applyFill="1" applyBorder="1" applyAlignment="1">
      <alignment horizontal="center" vertical="center" wrapText="1"/>
    </xf>
    <xf numFmtId="0" fontId="11" fillId="8" borderId="10" xfId="0" applyFont="1" applyFill="1" applyBorder="1" applyAlignment="1">
      <alignment horizontal="center" vertical="center"/>
    </xf>
    <xf numFmtId="0" fontId="11" fillId="8" borderId="10" xfId="0" applyFont="1" applyFill="1" applyBorder="1" applyAlignment="1">
      <alignment horizontal="center" vertical="center" wrapText="1"/>
    </xf>
    <xf numFmtId="0" fontId="33" fillId="0" borderId="10" xfId="0" applyFont="1" applyBorder="1" applyAlignment="1">
      <alignment horizontal="center" vertical="center" wrapText="1"/>
    </xf>
    <xf numFmtId="0" fontId="33" fillId="0" borderId="10" xfId="0" applyFont="1" applyBorder="1" applyAlignment="1">
      <alignment horizontal="center" vertical="center"/>
    </xf>
  </cellXfs>
  <cellStyles count="60">
    <cellStyle name="_CPI foodimp" xfId="3" xr:uid="{BF11F46C-8245-45A2-B183-0EE193D3A660}"/>
    <cellStyle name="_macro 2012 var 1" xfId="4" xr:uid="{4200774D-5433-4C00-8BB0-BC5EF53939D3}"/>
    <cellStyle name="_v-2013-2030- 2b17.01.11Нах-cpiнов. курс inn 1-2-Е1xls" xfId="5" xr:uid="{D3033406-B431-4B5B-884B-4115E49C7463}"/>
    <cellStyle name="_Модель - 2(23)" xfId="6" xr:uid="{12C68F72-1588-4D9D-8F48-0519DE622744}"/>
    <cellStyle name="_Сб-macro 2020" xfId="7" xr:uid="{536B75C8-2CD4-4B5D-8269-3A5B41A54080}"/>
    <cellStyle name="Euro" xfId="8" xr:uid="{913117F1-D40B-40B5-9665-1338DD790ABC}"/>
    <cellStyle name="Normal_macro 2012 var 1" xfId="9" xr:uid="{D40061E6-F89C-408E-99DB-E70F62B914C1}"/>
    <cellStyle name="styleColumnTitles" xfId="10" xr:uid="{89C4C150-718B-4388-8646-C03F81B06D8B}"/>
    <cellStyle name="styleDateRange" xfId="11" xr:uid="{BF8A43AC-896B-4048-8CE6-0273DE6A5306}"/>
    <cellStyle name="styleHidden" xfId="12" xr:uid="{FAE0F1B5-F243-411D-AD8C-A47E64535CA5}"/>
    <cellStyle name="styleNormal" xfId="13" xr:uid="{BB6C6BE3-E468-4171-8261-407A041D5559}"/>
    <cellStyle name="styleSeriesAttributes" xfId="14" xr:uid="{FE2F51E8-8799-4E77-BED5-3B6BB60F5BCA}"/>
    <cellStyle name="styleSeriesData" xfId="15" xr:uid="{D6AA5BE9-08DF-4639-BAFF-BA1113F03498}"/>
    <cellStyle name="styleSeriesDataForecast" xfId="16" xr:uid="{94105C44-2AD1-4C8D-B8DF-AFDE4B5A8EF0}"/>
    <cellStyle name="styleSeriesDataForecastNA" xfId="17" xr:uid="{17D9F277-FC6C-45F6-9DAD-30D498E3EC71}"/>
    <cellStyle name="styleSeriesDataNA" xfId="18" xr:uid="{2D2D49E0-2FAD-463A-8330-80B7628374E7}"/>
    <cellStyle name="Обычный" xfId="0" builtinId="0"/>
    <cellStyle name="Обычный 10" xfId="19" xr:uid="{CA6F473A-69B7-4D33-BB10-807FD6017F7C}"/>
    <cellStyle name="Обычный 10 2" xfId="58" xr:uid="{E2F75FE9-B033-47A2-AE6D-57B6818E03B0}"/>
    <cellStyle name="Обычный 11" xfId="2" xr:uid="{C0D52301-ED87-4C6B-A512-4A3D031A1A67}"/>
    <cellStyle name="Обычный 12" xfId="47" xr:uid="{211B849D-6A35-4313-A23C-5E1FFF9FBBA5}"/>
    <cellStyle name="Обычный 12 2" xfId="53" xr:uid="{EB197274-6C13-483A-8CB6-2914673F23E3}"/>
    <cellStyle name="Обычный 13" xfId="48" xr:uid="{6F041BC6-0A2C-4E0D-94E2-595F6C505645}"/>
    <cellStyle name="Обычный 14" xfId="20" xr:uid="{448AEC60-9F16-487D-A250-8BE18DAAD67C}"/>
    <cellStyle name="Обычный 14 2" xfId="52" xr:uid="{140577D2-7E6C-4A49-AC13-AD23A5D63AEA}"/>
    <cellStyle name="Обычный 15" xfId="1" xr:uid="{4B5A38C8-C105-4146-8D9F-33BD2670310D}"/>
    <cellStyle name="Обычный 16" xfId="49" xr:uid="{39206914-48C0-4FAA-8DC7-741448807AD5}"/>
    <cellStyle name="Обычный 17" xfId="57" xr:uid="{6BB0D0D4-F1C0-4592-BC2A-99673B084A95}"/>
    <cellStyle name="Обычный 17 2" xfId="59" xr:uid="{22E1EFDD-7025-4A78-B00E-9E09747E4A09}"/>
    <cellStyle name="Обычный 2" xfId="21" xr:uid="{DAF668F8-F661-4AD4-9141-C770F71B40B5}"/>
    <cellStyle name="Обычный 2 2" xfId="22" xr:uid="{00A77633-E6D0-4FD2-B048-F5BCCDE7E3FA}"/>
    <cellStyle name="Обычный 2 2 2" xfId="23" xr:uid="{BC003392-2A78-4A3B-B510-BC2E884842FC}"/>
    <cellStyle name="Обычный 2 2 3" xfId="24" xr:uid="{4087CFD2-D35C-4BA3-B798-165A652334CA}"/>
    <cellStyle name="Обычный 2 3" xfId="25" xr:uid="{FB18486F-FE21-40BB-8262-26D122A6ACA2}"/>
    <cellStyle name="Обычный 2 4" xfId="26" xr:uid="{3B939755-C11A-4092-B446-79837BFFD706}"/>
    <cellStyle name="Обычный 2 4 2" xfId="56" xr:uid="{9E92A0D9-2D70-4C2D-9B91-75BE9B08BA9B}"/>
    <cellStyle name="Обычный 2 5" xfId="27" xr:uid="{88D4FC8E-9EFD-43BF-8C66-136F952963E5}"/>
    <cellStyle name="Обычный 2 5 2" xfId="28" xr:uid="{1CD4C0EF-722F-41C5-AA1E-DBA402CC9DB5}"/>
    <cellStyle name="Обычный 2 6" xfId="29" xr:uid="{E06BED8A-AB73-4886-B809-63751B93411A}"/>
    <cellStyle name="Обычный 2 7" xfId="30" xr:uid="{7C9ED7E6-AC9C-4EC8-980C-86BF3F7A9FD1}"/>
    <cellStyle name="Обычный 2 8" xfId="50" xr:uid="{FC539A2C-EA04-4040-9DA7-28ACDC79478C}"/>
    <cellStyle name="Обычный 2_ТЭП-ВНИИЭФ-12-13 -апрель 2013" xfId="31" xr:uid="{182D1ED8-96A2-4B13-A855-B9CA653464DE}"/>
    <cellStyle name="Обычный 27" xfId="32" xr:uid="{F68013F1-6AC1-4CB8-B9C7-20A405926281}"/>
    <cellStyle name="Обычный 3" xfId="33" xr:uid="{6902B7C5-0A56-455C-A592-79168F87BD4E}"/>
    <cellStyle name="Обычный 3 2" xfId="34" xr:uid="{A8758636-4685-4859-B787-1B0062D9D42A}"/>
    <cellStyle name="Обычный 3 3" xfId="54" xr:uid="{88F8C816-9427-4E30-8C29-2DE09E51EA87}"/>
    <cellStyle name="Обычный 4" xfId="35" xr:uid="{A72E73CE-F07D-4F9C-9147-629EE8855425}"/>
    <cellStyle name="Обычный 4 2" xfId="36" xr:uid="{B7807FDE-27EF-4F4F-9FCD-4A1D255C546B}"/>
    <cellStyle name="Обычный 5" xfId="37" xr:uid="{9B213414-1DAB-4323-8831-91388FEAEAAA}"/>
    <cellStyle name="Обычный 5 2" xfId="38" xr:uid="{13E2F31F-542E-488E-A63A-A748E4282A13}"/>
    <cellStyle name="Обычный 5 2 2" xfId="39" xr:uid="{E4FB9F11-3369-43E7-BEC4-F29472B816BF}"/>
    <cellStyle name="Обычный 5 3" xfId="40" xr:uid="{31DE0E76-5A0A-4D89-833D-07CB1FAB53ED}"/>
    <cellStyle name="Обычный 5 4" xfId="51" xr:uid="{1E303107-35C1-4DE7-9655-4ACD5660FE10}"/>
    <cellStyle name="Обычный 6" xfId="41" xr:uid="{E415F0E0-41F4-4474-B8A5-9301BA69454A}"/>
    <cellStyle name="Обычный 6 2" xfId="42" xr:uid="{02B050B4-E77A-4C59-BB06-D3AF4DC1EC1A}"/>
    <cellStyle name="Обычный 6 3" xfId="55" xr:uid="{A2B8AC35-0C9C-4884-AEE4-11361B35F360}"/>
    <cellStyle name="Обычный 7" xfId="43" xr:uid="{8FA83B59-4A6A-4613-9B3D-0E6133404E7E}"/>
    <cellStyle name="Обычный 8" xfId="44" xr:uid="{0658E7D4-A7C9-4145-80CD-4200D50BCB50}"/>
    <cellStyle name="Обычный 9" xfId="45" xr:uid="{4BC7C29C-F623-4526-90AD-2B733C9800E0}"/>
    <cellStyle name="Стиль 1" xfId="46" xr:uid="{C26E4CBC-5E2E-4892-A8C2-1FB1720A6CE4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570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B1104-6C20-4162-A905-775158AC2B4C}">
  <sheetPr codeName="Лист26">
    <pageSetUpPr fitToPage="1"/>
  </sheetPr>
  <dimension ref="A1:M35"/>
  <sheetViews>
    <sheetView showWhiteSpace="0" view="pageBreakPreview" zoomScale="89" zoomScaleNormal="100" zoomScaleSheetLayoutView="89" zoomScalePageLayoutView="69" workbookViewId="0">
      <selection activeCell="A16" sqref="A16:L16"/>
    </sheetView>
  </sheetViews>
  <sheetFormatPr defaultColWidth="9.140625" defaultRowHeight="18" customHeight="1" x14ac:dyDescent="0.25"/>
  <cols>
    <col min="1" max="1" width="13.42578125" style="62" customWidth="1"/>
    <col min="2" max="2" width="47.28515625" style="63" customWidth="1"/>
    <col min="3" max="3" width="29.42578125" style="63" customWidth="1"/>
    <col min="4" max="4" width="7.5703125" style="51" customWidth="1"/>
    <col min="5" max="5" width="5.140625" style="51" customWidth="1"/>
    <col min="6" max="6" width="13.140625" style="45" customWidth="1"/>
    <col min="7" max="7" width="14.42578125" style="45" customWidth="1"/>
    <col min="8" max="8" width="14.7109375" style="45" customWidth="1"/>
    <col min="9" max="10" width="15.85546875" style="45" customWidth="1"/>
    <col min="11" max="11" width="16.140625" style="45" customWidth="1"/>
    <col min="12" max="12" width="15.85546875" style="45" customWidth="1"/>
    <col min="13" max="13" width="17.7109375" style="45" customWidth="1"/>
    <col min="14" max="16384" width="9.140625" style="45"/>
  </cols>
  <sheetData>
    <row r="1" spans="1:13" ht="18" customHeight="1" x14ac:dyDescent="0.25">
      <c r="A1" s="70" t="s">
        <v>132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44"/>
    </row>
    <row r="2" spans="1:13" ht="18" customHeight="1" x14ac:dyDescent="0.25">
      <c r="A2" s="70" t="s">
        <v>133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44"/>
    </row>
    <row r="3" spans="1:13" ht="18" customHeight="1" x14ac:dyDescent="0.25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44"/>
    </row>
    <row r="4" spans="1:13" ht="18" customHeight="1" x14ac:dyDescent="0.25">
      <c r="A4" s="72" t="s">
        <v>54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</row>
    <row r="5" spans="1:13" ht="18" customHeight="1" x14ac:dyDescent="0.25">
      <c r="A5" s="73" t="s">
        <v>3</v>
      </c>
      <c r="B5" s="74"/>
      <c r="C5" s="74"/>
      <c r="D5" s="74"/>
      <c r="E5" s="74"/>
      <c r="F5" s="74"/>
      <c r="G5" s="74"/>
      <c r="H5" s="74"/>
      <c r="I5" s="75"/>
      <c r="J5" s="76" t="s">
        <v>56</v>
      </c>
      <c r="K5" s="76"/>
      <c r="L5" s="76"/>
    </row>
    <row r="6" spans="1:13" ht="18" customHeight="1" x14ac:dyDescent="0.25">
      <c r="A6" s="78"/>
      <c r="B6" s="79"/>
      <c r="C6" s="79"/>
      <c r="D6" s="79"/>
      <c r="E6" s="79"/>
      <c r="F6" s="79"/>
      <c r="G6" s="79"/>
      <c r="H6" s="79"/>
      <c r="I6" s="80"/>
      <c r="J6" s="81"/>
      <c r="K6" s="81"/>
      <c r="L6" s="81"/>
    </row>
    <row r="7" spans="1:13" ht="18" customHeight="1" x14ac:dyDescent="0.25">
      <c r="A7" s="82"/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</row>
    <row r="8" spans="1:13" ht="18" customHeight="1" x14ac:dyDescent="0.25">
      <c r="A8" s="77" t="s">
        <v>134</v>
      </c>
      <c r="B8" s="77"/>
      <c r="C8" s="77"/>
      <c r="D8" s="77"/>
      <c r="E8" s="77"/>
      <c r="F8" s="77"/>
      <c r="G8" s="77"/>
      <c r="H8" s="77"/>
      <c r="I8" s="77"/>
      <c r="J8" s="77"/>
      <c r="K8" s="77"/>
      <c r="L8" s="77"/>
    </row>
    <row r="9" spans="1:13" ht="24.75" customHeight="1" x14ac:dyDescent="0.25">
      <c r="A9" s="83" t="s">
        <v>25</v>
      </c>
      <c r="B9" s="84" t="s">
        <v>26</v>
      </c>
      <c r="C9" s="85"/>
      <c r="D9" s="85"/>
      <c r="E9" s="86"/>
      <c r="F9" s="90" t="s">
        <v>166</v>
      </c>
      <c r="G9" s="90"/>
      <c r="H9" s="90"/>
      <c r="I9" s="90"/>
      <c r="J9" s="90"/>
      <c r="K9" s="90"/>
      <c r="L9" s="90"/>
    </row>
    <row r="10" spans="1:13" ht="40.5" customHeight="1" x14ac:dyDescent="0.25">
      <c r="A10" s="83"/>
      <c r="B10" s="87"/>
      <c r="C10" s="88"/>
      <c r="D10" s="88"/>
      <c r="E10" s="89"/>
      <c r="F10" s="48"/>
      <c r="G10" s="90" t="s">
        <v>12</v>
      </c>
      <c r="H10" s="90"/>
      <c r="I10" s="90" t="s">
        <v>161</v>
      </c>
      <c r="J10" s="90"/>
      <c r="K10" s="91" t="s">
        <v>163</v>
      </c>
      <c r="L10" s="92" t="s">
        <v>135</v>
      </c>
    </row>
    <row r="11" spans="1:13" ht="99" customHeight="1" x14ac:dyDescent="0.25">
      <c r="A11" s="83"/>
      <c r="B11" s="49" t="s">
        <v>136</v>
      </c>
      <c r="C11" s="49" t="s">
        <v>15</v>
      </c>
      <c r="D11" s="48" t="s">
        <v>27</v>
      </c>
      <c r="E11" s="48" t="s">
        <v>167</v>
      </c>
      <c r="F11" s="49" t="s">
        <v>55</v>
      </c>
      <c r="G11" s="48" t="s">
        <v>162</v>
      </c>
      <c r="H11" s="49" t="s">
        <v>137</v>
      </c>
      <c r="I11" s="49" t="s">
        <v>164</v>
      </c>
      <c r="J11" s="49" t="s">
        <v>138</v>
      </c>
      <c r="K11" s="91"/>
      <c r="L11" s="92"/>
    </row>
    <row r="12" spans="1:13" s="51" customFormat="1" ht="18" customHeight="1" x14ac:dyDescent="0.25">
      <c r="A12" s="47">
        <v>1</v>
      </c>
      <c r="B12" s="49">
        <v>2</v>
      </c>
      <c r="C12" s="49">
        <v>3</v>
      </c>
      <c r="D12" s="48">
        <v>4</v>
      </c>
      <c r="E12" s="49">
        <v>5</v>
      </c>
      <c r="F12" s="48">
        <v>6</v>
      </c>
      <c r="G12" s="48">
        <v>7</v>
      </c>
      <c r="H12" s="48">
        <v>8</v>
      </c>
      <c r="I12" s="48">
        <v>9</v>
      </c>
      <c r="J12" s="48">
        <v>10</v>
      </c>
      <c r="K12" s="50">
        <v>11</v>
      </c>
      <c r="L12" s="50">
        <v>12</v>
      </c>
    </row>
    <row r="13" spans="1:13" s="51" customFormat="1" ht="31.5" customHeight="1" x14ac:dyDescent="0.25">
      <c r="A13" s="69"/>
      <c r="B13" s="66"/>
      <c r="C13" s="66"/>
      <c r="D13" s="68"/>
      <c r="E13" s="67"/>
      <c r="F13" s="68"/>
      <c r="G13" s="68"/>
      <c r="H13" s="68"/>
      <c r="I13" s="68"/>
      <c r="J13" s="68"/>
      <c r="K13" s="68"/>
      <c r="L13" s="68"/>
      <c r="M13" s="65"/>
    </row>
    <row r="14" spans="1:13" ht="15.75" x14ac:dyDescent="0.25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</row>
    <row r="15" spans="1:13" ht="15.75" x14ac:dyDescent="0.25">
      <c r="A15" s="94" t="s">
        <v>169</v>
      </c>
      <c r="B15" s="94"/>
      <c r="C15" s="94"/>
      <c r="D15" s="94"/>
      <c r="E15" s="94"/>
      <c r="F15" s="94"/>
      <c r="G15" s="94"/>
      <c r="H15" s="94"/>
      <c r="I15" s="94"/>
      <c r="J15" s="94"/>
      <c r="K15" s="94"/>
      <c r="L15" s="94"/>
    </row>
    <row r="16" spans="1:13" ht="15.75" x14ac:dyDescent="0.25">
      <c r="A16" s="95" t="s">
        <v>170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</row>
    <row r="17" spans="1:12" ht="15.75" x14ac:dyDescent="0.25">
      <c r="A17" s="95" t="s">
        <v>171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</row>
    <row r="18" spans="1:12" ht="15.75" x14ac:dyDescent="0.25">
      <c r="A18" s="77" t="s">
        <v>172</v>
      </c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</row>
    <row r="19" spans="1:12" ht="15.75" x14ac:dyDescent="0.25">
      <c r="A19" s="99" t="s">
        <v>173</v>
      </c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</row>
    <row r="20" spans="1:12" ht="15.75" x14ac:dyDescent="0.25">
      <c r="A20" s="100" t="s">
        <v>174</v>
      </c>
      <c r="B20" s="100"/>
      <c r="C20" s="100"/>
      <c r="D20" s="100"/>
      <c r="E20" s="100"/>
      <c r="F20" s="100"/>
      <c r="G20" s="100"/>
      <c r="H20" s="100"/>
      <c r="I20" s="100"/>
      <c r="J20" s="100"/>
      <c r="K20" s="100"/>
      <c r="L20" s="100"/>
    </row>
    <row r="21" spans="1:12" ht="15.75" x14ac:dyDescent="0.25">
      <c r="A21" s="100"/>
      <c r="B21" s="100"/>
      <c r="C21" s="100"/>
      <c r="D21" s="100"/>
      <c r="E21" s="100"/>
      <c r="F21" s="100"/>
      <c r="G21" s="100"/>
      <c r="H21" s="100"/>
      <c r="I21" s="100"/>
      <c r="J21" s="100"/>
      <c r="K21" s="100"/>
      <c r="L21" s="100"/>
    </row>
    <row r="22" spans="1:12" s="51" customFormat="1" ht="18" customHeight="1" x14ac:dyDescent="0.25">
      <c r="A22" s="77" t="s">
        <v>175</v>
      </c>
      <c r="B22" s="77"/>
      <c r="C22" s="46"/>
      <c r="D22" s="46"/>
      <c r="E22" s="46"/>
      <c r="F22" s="46"/>
      <c r="G22" s="46"/>
      <c r="H22" s="46"/>
      <c r="I22" s="46"/>
      <c r="J22" s="46"/>
      <c r="K22" s="46"/>
      <c r="L22" s="52"/>
    </row>
    <row r="23" spans="1:12" s="51" customFormat="1" ht="18" customHeight="1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</row>
    <row r="24" spans="1:12" s="51" customFormat="1" ht="18" customHeight="1" x14ac:dyDescent="0.25">
      <c r="A24" s="77" t="s">
        <v>176</v>
      </c>
      <c r="B24" s="77"/>
      <c r="C24" s="77"/>
      <c r="D24" s="77"/>
      <c r="E24" s="77"/>
      <c r="F24" s="77"/>
      <c r="G24" s="77"/>
      <c r="H24" s="77"/>
      <c r="I24" s="77"/>
      <c r="J24" s="77"/>
      <c r="K24" s="77"/>
      <c r="L24" s="52"/>
    </row>
    <row r="25" spans="1:12" ht="15.75" customHeight="1" x14ac:dyDescent="0.25">
      <c r="A25" s="102" t="s">
        <v>177</v>
      </c>
      <c r="B25" s="102"/>
      <c r="C25" s="102"/>
      <c r="D25" s="102"/>
      <c r="E25" s="102"/>
      <c r="F25" s="102"/>
      <c r="G25" s="102"/>
      <c r="H25" s="102"/>
      <c r="I25" s="102"/>
      <c r="J25" s="102"/>
      <c r="K25" s="102"/>
      <c r="L25" s="102"/>
    </row>
    <row r="26" spans="1:12" ht="15.6" customHeight="1" x14ac:dyDescent="0.25">
      <c r="A26" s="53"/>
      <c r="B26" s="102"/>
      <c r="C26" s="102"/>
      <c r="D26" s="102"/>
      <c r="E26" s="102"/>
      <c r="F26" s="102"/>
      <c r="G26" s="102"/>
      <c r="H26" s="102"/>
      <c r="I26" s="102"/>
      <c r="J26" s="102"/>
      <c r="K26" s="103"/>
      <c r="L26" s="103"/>
    </row>
    <row r="27" spans="1:12" s="51" customFormat="1" ht="15.75" x14ac:dyDescent="0.25">
      <c r="A27" s="77"/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54"/>
    </row>
    <row r="28" spans="1:12" s="51" customFormat="1" ht="15.75" x14ac:dyDescent="0.25">
      <c r="A28" s="104" t="s">
        <v>178</v>
      </c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54"/>
    </row>
    <row r="29" spans="1:12" s="51" customFormat="1" ht="15.6" customHeight="1" x14ac:dyDescent="0.25">
      <c r="A29" s="55" t="s">
        <v>25</v>
      </c>
      <c r="B29" s="96" t="s">
        <v>3</v>
      </c>
      <c r="C29" s="97"/>
      <c r="D29" s="97"/>
      <c r="E29" s="97"/>
      <c r="F29" s="97"/>
      <c r="G29" s="98"/>
      <c r="H29" s="56" t="s">
        <v>57</v>
      </c>
      <c r="I29" s="56" t="s">
        <v>27</v>
      </c>
      <c r="J29" s="96" t="s">
        <v>179</v>
      </c>
      <c r="K29" s="97"/>
      <c r="L29" s="98"/>
    </row>
    <row r="30" spans="1:12" s="51" customFormat="1" ht="18" customHeight="1" x14ac:dyDescent="0.25">
      <c r="A30" s="57"/>
      <c r="B30" s="108"/>
      <c r="C30" s="109"/>
      <c r="D30" s="109"/>
      <c r="E30" s="109"/>
      <c r="F30" s="109"/>
      <c r="G30" s="110"/>
      <c r="H30" s="58"/>
      <c r="I30" s="59"/>
      <c r="J30" s="111"/>
      <c r="K30" s="112"/>
      <c r="L30" s="113"/>
    </row>
    <row r="31" spans="1:12" s="51" customFormat="1" ht="18" customHeight="1" x14ac:dyDescent="0.25">
      <c r="A31" s="57"/>
      <c r="B31" s="108"/>
      <c r="C31" s="109"/>
      <c r="D31" s="109"/>
      <c r="E31" s="109"/>
      <c r="F31" s="109"/>
      <c r="G31" s="110"/>
      <c r="H31" s="58"/>
      <c r="I31" s="59"/>
      <c r="J31" s="111"/>
      <c r="K31" s="112"/>
      <c r="L31" s="112"/>
    </row>
    <row r="32" spans="1:12" s="51" customFormat="1" ht="18" customHeight="1" x14ac:dyDescent="0.25">
      <c r="A32" s="60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</row>
    <row r="33" spans="1:12" s="51" customFormat="1" ht="18" customHeight="1" x14ac:dyDescent="0.25">
      <c r="A33" s="114" t="s">
        <v>180</v>
      </c>
      <c r="B33" s="114"/>
      <c r="C33" s="114"/>
      <c r="D33" s="114"/>
      <c r="E33" s="114"/>
      <c r="F33" s="114"/>
      <c r="G33" s="114"/>
      <c r="H33" s="114"/>
      <c r="I33" s="114"/>
      <c r="J33" s="114"/>
      <c r="K33" s="114"/>
      <c r="L33" s="114"/>
    </row>
    <row r="34" spans="1:12" s="51" customFormat="1" ht="18" customHeight="1" x14ac:dyDescent="0.25">
      <c r="A34" s="55" t="s">
        <v>181</v>
      </c>
      <c r="B34" s="115" t="s">
        <v>182</v>
      </c>
      <c r="C34" s="115"/>
      <c r="D34" s="115"/>
      <c r="E34" s="115"/>
      <c r="F34" s="115"/>
      <c r="G34" s="115"/>
      <c r="H34" s="115"/>
      <c r="I34" s="56" t="s">
        <v>183</v>
      </c>
      <c r="J34" s="115" t="s">
        <v>179</v>
      </c>
      <c r="K34" s="115"/>
      <c r="L34" s="115"/>
    </row>
    <row r="35" spans="1:12" s="51" customFormat="1" ht="36" customHeight="1" x14ac:dyDescent="0.25">
      <c r="A35" s="47" t="s">
        <v>184</v>
      </c>
      <c r="B35" s="105"/>
      <c r="C35" s="106"/>
      <c r="D35" s="106"/>
      <c r="E35" s="106"/>
      <c r="F35" s="106"/>
      <c r="G35" s="106"/>
      <c r="H35" s="107"/>
      <c r="I35" s="61"/>
      <c r="J35" s="96"/>
      <c r="K35" s="97"/>
      <c r="L35" s="98"/>
    </row>
  </sheetData>
  <autoFilter ref="A12:L12" xr:uid="{56A1EF49-3F48-42EF-B902-DC500932F173}"/>
  <mergeCells count="44">
    <mergeCell ref="B35:H35"/>
    <mergeCell ref="J35:L35"/>
    <mergeCell ref="B30:G30"/>
    <mergeCell ref="J30:L30"/>
    <mergeCell ref="B31:G31"/>
    <mergeCell ref="J31:L31"/>
    <mergeCell ref="A33:L33"/>
    <mergeCell ref="B34:H34"/>
    <mergeCell ref="J34:L34"/>
    <mergeCell ref="B29:G29"/>
    <mergeCell ref="J29:L29"/>
    <mergeCell ref="A19:L19"/>
    <mergeCell ref="A20:L20"/>
    <mergeCell ref="A21:L21"/>
    <mergeCell ref="A22:B22"/>
    <mergeCell ref="A23:L23"/>
    <mergeCell ref="A24:K24"/>
    <mergeCell ref="A25:L25"/>
    <mergeCell ref="B26:J26"/>
    <mergeCell ref="K26:L26"/>
    <mergeCell ref="A27:K27"/>
    <mergeCell ref="A28:K28"/>
    <mergeCell ref="A18:L18"/>
    <mergeCell ref="A6:I6"/>
    <mergeCell ref="J6:L6"/>
    <mergeCell ref="A7:L7"/>
    <mergeCell ref="A8:L8"/>
    <mergeCell ref="A9:A11"/>
    <mergeCell ref="B9:E10"/>
    <mergeCell ref="F9:L9"/>
    <mergeCell ref="G10:H10"/>
    <mergeCell ref="I10:J10"/>
    <mergeCell ref="K10:K11"/>
    <mergeCell ref="L10:L11"/>
    <mergeCell ref="A14:L14"/>
    <mergeCell ref="A15:L15"/>
    <mergeCell ref="A16:L16"/>
    <mergeCell ref="A17:L17"/>
    <mergeCell ref="A1:L1"/>
    <mergeCell ref="A2:L2"/>
    <mergeCell ref="A3:L3"/>
    <mergeCell ref="A4:L4"/>
    <mergeCell ref="A5:I5"/>
    <mergeCell ref="J5:L5"/>
  </mergeCells>
  <printOptions horizontalCentered="1"/>
  <pageMargins left="0.39370078740157483" right="0.39370078740157483" top="1.1811023622047245" bottom="0.39370078740157483" header="0.31496062992125984" footer="0.31496062992125984"/>
  <pageSetup paperSize="9" scale="66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4F3C-7698-43AB-8BDC-050C3B09DC5B}">
  <sheetPr codeName="Лист2"/>
  <dimension ref="A1:Q23"/>
  <sheetViews>
    <sheetView workbookViewId="0">
      <selection activeCell="P11" sqref="P11"/>
    </sheetView>
  </sheetViews>
  <sheetFormatPr defaultRowHeight="15" x14ac:dyDescent="0.25"/>
  <cols>
    <col min="1" max="1" width="25.7109375" style="2" customWidth="1"/>
    <col min="2" max="2" width="35.5703125" style="3" customWidth="1"/>
    <col min="3" max="9" width="8.7109375" style="22" customWidth="1"/>
    <col min="10" max="10" width="9.5703125" style="9" customWidth="1"/>
    <col min="11" max="11" width="0" style="2" hidden="1" customWidth="1"/>
    <col min="12" max="12" width="15.28515625" hidden="1" customWidth="1"/>
    <col min="13" max="15" width="0" hidden="1" customWidth="1"/>
    <col min="16" max="16" width="5.7109375" style="2" customWidth="1"/>
    <col min="17" max="17" width="82.140625" style="3" customWidth="1"/>
  </cols>
  <sheetData>
    <row r="1" spans="1:17" ht="30" customHeight="1" x14ac:dyDescent="0.25">
      <c r="A1" s="122" t="s">
        <v>2</v>
      </c>
      <c r="B1" s="122" t="s">
        <v>3</v>
      </c>
      <c r="C1" s="116" t="s">
        <v>10</v>
      </c>
      <c r="D1" s="123" t="s">
        <v>12</v>
      </c>
      <c r="E1" s="124"/>
      <c r="F1" s="125" t="s">
        <v>139</v>
      </c>
      <c r="G1" s="124"/>
      <c r="H1" s="116" t="s">
        <v>13</v>
      </c>
      <c r="I1" s="116" t="s">
        <v>14</v>
      </c>
      <c r="P1" s="118" t="s">
        <v>15</v>
      </c>
      <c r="Q1" s="120" t="s">
        <v>16</v>
      </c>
    </row>
    <row r="2" spans="1:17" ht="71.25" customHeight="1" x14ac:dyDescent="0.25">
      <c r="A2" s="122"/>
      <c r="B2" s="122"/>
      <c r="C2" s="117"/>
      <c r="D2" s="30" t="s">
        <v>9</v>
      </c>
      <c r="E2" s="30" t="s">
        <v>11</v>
      </c>
      <c r="F2" s="30" t="s">
        <v>140</v>
      </c>
      <c r="G2" s="30" t="s">
        <v>141</v>
      </c>
      <c r="H2" s="117"/>
      <c r="I2" s="117"/>
      <c r="P2" s="119"/>
      <c r="Q2" s="121"/>
    </row>
    <row r="3" spans="1:17" ht="15" customHeight="1" x14ac:dyDescent="0.25">
      <c r="A3" s="24" t="s">
        <v>130</v>
      </c>
      <c r="B3" s="24" t="s">
        <v>130</v>
      </c>
      <c r="C3" s="25"/>
      <c r="D3" s="25">
        <v>0</v>
      </c>
      <c r="E3" s="25">
        <v>0</v>
      </c>
      <c r="F3" s="25" t="s">
        <v>8</v>
      </c>
      <c r="G3" s="25" t="s">
        <v>8</v>
      </c>
      <c r="H3" s="25">
        <v>0</v>
      </c>
      <c r="I3" s="25"/>
      <c r="K3" s="13"/>
      <c r="P3" s="24">
        <v>0</v>
      </c>
      <c r="Q3" s="31" t="s">
        <v>17</v>
      </c>
    </row>
    <row r="4" spans="1:17" ht="15" customHeight="1" x14ac:dyDescent="0.25">
      <c r="A4" s="32" t="s">
        <v>159</v>
      </c>
      <c r="B4" s="32" t="s">
        <v>159</v>
      </c>
      <c r="C4" s="25">
        <v>0</v>
      </c>
      <c r="D4" s="25">
        <v>0</v>
      </c>
      <c r="E4" s="25">
        <v>0</v>
      </c>
      <c r="F4" s="25" t="s">
        <v>8</v>
      </c>
      <c r="G4" s="25" t="s">
        <v>8</v>
      </c>
      <c r="H4" s="25">
        <v>0</v>
      </c>
      <c r="I4" s="25"/>
      <c r="J4" s="10"/>
      <c r="P4" s="24" t="s">
        <v>8</v>
      </c>
      <c r="Q4" s="33" t="s">
        <v>185</v>
      </c>
    </row>
    <row r="5" spans="1:17" ht="15" customHeight="1" x14ac:dyDescent="0.25">
      <c r="A5" s="24" t="s">
        <v>62</v>
      </c>
      <c r="B5" s="24" t="s">
        <v>62</v>
      </c>
      <c r="C5" s="25">
        <v>0</v>
      </c>
      <c r="D5" s="25">
        <v>0</v>
      </c>
      <c r="E5" s="25">
        <v>0</v>
      </c>
      <c r="F5" s="25" t="s">
        <v>8</v>
      </c>
      <c r="G5" s="25" t="s">
        <v>8</v>
      </c>
      <c r="H5" s="25">
        <v>0</v>
      </c>
      <c r="I5" s="25">
        <v>0</v>
      </c>
      <c r="J5" s="10"/>
      <c r="P5" s="24" t="s">
        <v>24</v>
      </c>
      <c r="Q5" s="31" t="s">
        <v>157</v>
      </c>
    </row>
    <row r="6" spans="1:17" ht="15" customHeight="1" x14ac:dyDescent="0.25">
      <c r="A6" s="36" t="s">
        <v>165</v>
      </c>
      <c r="B6" s="36" t="s">
        <v>165</v>
      </c>
      <c r="C6" s="37" t="s">
        <v>8</v>
      </c>
      <c r="D6" s="37" t="s">
        <v>8</v>
      </c>
      <c r="E6" s="37" t="s">
        <v>8</v>
      </c>
      <c r="F6" s="37" t="s">
        <v>8</v>
      </c>
      <c r="G6" s="37" t="s">
        <v>8</v>
      </c>
      <c r="H6" s="37" t="s">
        <v>8</v>
      </c>
      <c r="I6" s="37" t="s">
        <v>8</v>
      </c>
      <c r="J6" s="10"/>
      <c r="P6" s="36"/>
      <c r="Q6" s="38"/>
    </row>
    <row r="7" spans="1:17" ht="15" customHeight="1" x14ac:dyDescent="0.25">
      <c r="A7" s="24" t="s">
        <v>131</v>
      </c>
      <c r="B7" s="24" t="s">
        <v>131</v>
      </c>
      <c r="C7" s="25">
        <v>0</v>
      </c>
      <c r="D7" s="25">
        <v>0</v>
      </c>
      <c r="E7" s="25">
        <v>0</v>
      </c>
      <c r="F7" s="25" t="s">
        <v>8</v>
      </c>
      <c r="G7" s="25" t="s">
        <v>8</v>
      </c>
      <c r="H7" s="25"/>
      <c r="I7" s="25">
        <v>0</v>
      </c>
      <c r="J7" s="10"/>
      <c r="K7" s="13"/>
      <c r="P7" s="24" t="s">
        <v>23</v>
      </c>
      <c r="Q7" s="31" t="s">
        <v>158</v>
      </c>
    </row>
    <row r="8" spans="1:17" ht="15" customHeight="1" x14ac:dyDescent="0.25">
      <c r="A8" s="24" t="s">
        <v>160</v>
      </c>
      <c r="B8" s="24" t="s">
        <v>160</v>
      </c>
      <c r="C8" s="25">
        <v>0</v>
      </c>
      <c r="D8" s="25"/>
      <c r="E8" s="25"/>
      <c r="F8" s="25" t="s">
        <v>24</v>
      </c>
      <c r="G8" s="25" t="s">
        <v>24</v>
      </c>
      <c r="H8" s="25"/>
      <c r="I8" s="25">
        <v>0</v>
      </c>
      <c r="J8" s="11"/>
      <c r="K8" s="13"/>
    </row>
    <row r="9" spans="1:17" ht="15" customHeight="1" x14ac:dyDescent="0.25">
      <c r="A9" s="24" t="s">
        <v>144</v>
      </c>
      <c r="B9" s="24" t="s">
        <v>144</v>
      </c>
      <c r="C9" s="25">
        <v>0</v>
      </c>
      <c r="D9" s="25"/>
      <c r="E9" s="25"/>
      <c r="F9" s="25" t="s">
        <v>24</v>
      </c>
      <c r="G9" s="25" t="s">
        <v>24</v>
      </c>
      <c r="H9" s="25"/>
      <c r="I9" s="25"/>
      <c r="J9" s="10"/>
      <c r="K9" s="13"/>
      <c r="Q9" s="34"/>
    </row>
    <row r="10" spans="1:17" ht="15" customHeight="1" x14ac:dyDescent="0.25">
      <c r="A10" s="24" t="s">
        <v>145</v>
      </c>
      <c r="B10" s="24" t="s">
        <v>145</v>
      </c>
      <c r="C10" s="25">
        <v>0</v>
      </c>
      <c r="D10" s="25">
        <v>0</v>
      </c>
      <c r="E10" s="25">
        <v>0</v>
      </c>
      <c r="F10" s="25" t="s">
        <v>8</v>
      </c>
      <c r="G10" s="25" t="s">
        <v>8</v>
      </c>
      <c r="H10" s="25"/>
      <c r="I10" s="25">
        <v>0</v>
      </c>
      <c r="J10" s="12"/>
      <c r="K10" s="13"/>
      <c r="Q10" s="34"/>
    </row>
    <row r="11" spans="1:17" ht="15" customHeight="1" x14ac:dyDescent="0.25">
      <c r="A11" s="24" t="s">
        <v>146</v>
      </c>
      <c r="B11" s="24" t="s">
        <v>146</v>
      </c>
      <c r="C11" s="25">
        <v>0</v>
      </c>
      <c r="D11" s="25">
        <v>0</v>
      </c>
      <c r="E11" s="25">
        <v>0</v>
      </c>
      <c r="F11" s="25" t="s">
        <v>8</v>
      </c>
      <c r="G11" s="25" t="s">
        <v>8</v>
      </c>
      <c r="H11" s="25">
        <v>0</v>
      </c>
      <c r="I11" s="25">
        <v>0</v>
      </c>
      <c r="J11" s="10"/>
    </row>
    <row r="12" spans="1:17" ht="15" customHeight="1" x14ac:dyDescent="0.25">
      <c r="A12" s="24" t="s">
        <v>19</v>
      </c>
      <c r="B12" s="24" t="s">
        <v>19</v>
      </c>
      <c r="C12" s="25">
        <v>0</v>
      </c>
      <c r="D12" s="25"/>
      <c r="E12" s="25"/>
      <c r="F12" s="25" t="s">
        <v>23</v>
      </c>
      <c r="G12" s="25">
        <v>0</v>
      </c>
      <c r="H12" s="25"/>
      <c r="I12" s="25">
        <v>0</v>
      </c>
      <c r="J12" s="11"/>
      <c r="K12" s="13"/>
    </row>
    <row r="13" spans="1:17" ht="15" customHeight="1" x14ac:dyDescent="0.25">
      <c r="A13" s="24" t="s">
        <v>6</v>
      </c>
      <c r="B13" s="24" t="s">
        <v>6</v>
      </c>
      <c r="C13" s="25">
        <v>0</v>
      </c>
      <c r="D13" s="25"/>
      <c r="E13" s="25"/>
      <c r="F13" s="25" t="s">
        <v>23</v>
      </c>
      <c r="G13" s="25">
        <v>0</v>
      </c>
      <c r="H13" s="25"/>
      <c r="I13" s="25">
        <v>0</v>
      </c>
      <c r="J13" s="11"/>
      <c r="K13" s="13"/>
    </row>
    <row r="14" spans="1:17" ht="15" customHeight="1" x14ac:dyDescent="0.25">
      <c r="A14" s="24" t="s">
        <v>4</v>
      </c>
      <c r="B14" s="24" t="s">
        <v>4</v>
      </c>
      <c r="C14" s="25">
        <v>0</v>
      </c>
      <c r="D14" s="25"/>
      <c r="E14" s="25"/>
      <c r="F14" s="25">
        <v>0</v>
      </c>
      <c r="G14" s="25">
        <v>0</v>
      </c>
      <c r="H14" s="25"/>
      <c r="I14" s="25">
        <v>0</v>
      </c>
      <c r="J14" s="11"/>
      <c r="K14" s="13"/>
    </row>
    <row r="15" spans="1:17" ht="15" customHeight="1" x14ac:dyDescent="0.25">
      <c r="A15" s="24" t="s">
        <v>21</v>
      </c>
      <c r="B15" s="24" t="s">
        <v>21</v>
      </c>
      <c r="C15" s="25">
        <v>0</v>
      </c>
      <c r="D15" s="25"/>
      <c r="E15" s="25"/>
      <c r="F15" s="25" t="s">
        <v>23</v>
      </c>
      <c r="G15" s="25">
        <v>0</v>
      </c>
      <c r="H15" s="25"/>
      <c r="I15" s="25">
        <v>0</v>
      </c>
      <c r="J15" s="10"/>
      <c r="K15" s="13"/>
    </row>
    <row r="16" spans="1:17" ht="15" customHeight="1" x14ac:dyDescent="0.25">
      <c r="A16" s="24" t="s">
        <v>5</v>
      </c>
      <c r="B16" s="24" t="s">
        <v>5</v>
      </c>
      <c r="C16" s="25">
        <v>0</v>
      </c>
      <c r="D16" s="25"/>
      <c r="E16" s="25"/>
      <c r="F16" s="25" t="s">
        <v>24</v>
      </c>
      <c r="G16" s="25" t="s">
        <v>24</v>
      </c>
      <c r="H16" s="25"/>
      <c r="I16" s="25">
        <v>0</v>
      </c>
      <c r="J16" s="11"/>
      <c r="K16" s="13"/>
    </row>
    <row r="17" spans="1:17" ht="15" customHeight="1" x14ac:dyDescent="0.25">
      <c r="A17" s="24" t="s">
        <v>22</v>
      </c>
      <c r="B17" s="24" t="s">
        <v>22</v>
      </c>
      <c r="C17" s="25">
        <v>0</v>
      </c>
      <c r="D17" s="25"/>
      <c r="E17" s="25"/>
      <c r="F17" s="25" t="s">
        <v>24</v>
      </c>
      <c r="G17" s="25" t="s">
        <v>24</v>
      </c>
      <c r="H17" s="25"/>
      <c r="I17" s="25"/>
      <c r="Q17" s="35"/>
    </row>
    <row r="18" spans="1:17" ht="15" customHeight="1" x14ac:dyDescent="0.25">
      <c r="A18" s="24" t="s">
        <v>0</v>
      </c>
      <c r="B18" s="24" t="s">
        <v>0</v>
      </c>
      <c r="C18" s="25">
        <v>0</v>
      </c>
      <c r="D18" s="25"/>
      <c r="E18" s="25"/>
      <c r="F18" s="25" t="s">
        <v>24</v>
      </c>
      <c r="G18" s="25" t="s">
        <v>24</v>
      </c>
      <c r="H18" s="25"/>
      <c r="I18" s="25"/>
    </row>
    <row r="19" spans="1:17" ht="15" customHeight="1" x14ac:dyDescent="0.25">
      <c r="A19" s="24" t="s">
        <v>1</v>
      </c>
      <c r="B19" s="24" t="s">
        <v>1</v>
      </c>
      <c r="C19" s="25">
        <v>0</v>
      </c>
      <c r="D19" s="25"/>
      <c r="E19" s="25"/>
      <c r="F19" s="25" t="s">
        <v>24</v>
      </c>
      <c r="G19" s="25" t="s">
        <v>24</v>
      </c>
      <c r="H19" s="25"/>
      <c r="I19" s="25">
        <v>0</v>
      </c>
    </row>
    <row r="20" spans="1:17" ht="15" customHeight="1" x14ac:dyDescent="0.25">
      <c r="A20" s="24" t="s">
        <v>7</v>
      </c>
      <c r="B20" s="24" t="s">
        <v>7</v>
      </c>
      <c r="C20" s="25"/>
      <c r="D20" s="25"/>
      <c r="E20" s="25"/>
      <c r="F20" s="25"/>
      <c r="G20" s="25"/>
      <c r="H20" s="25"/>
      <c r="I20" s="25"/>
    </row>
    <row r="21" spans="1:17" ht="15" customHeight="1" x14ac:dyDescent="0.25">
      <c r="A21" s="24" t="s">
        <v>147</v>
      </c>
      <c r="B21" s="24" t="s">
        <v>147</v>
      </c>
      <c r="C21" s="25"/>
      <c r="D21" s="25"/>
      <c r="E21" s="25"/>
      <c r="F21" s="25"/>
      <c r="G21" s="25"/>
      <c r="H21" s="25"/>
      <c r="I21" s="25"/>
    </row>
    <row r="22" spans="1:17" ht="15" customHeight="1" x14ac:dyDescent="0.25">
      <c r="A22" s="24" t="s">
        <v>148</v>
      </c>
      <c r="B22" s="24" t="s">
        <v>148</v>
      </c>
      <c r="C22" s="25"/>
      <c r="D22" s="25"/>
      <c r="E22" s="25"/>
      <c r="F22" s="25"/>
      <c r="G22" s="25"/>
      <c r="H22" s="25"/>
      <c r="I22" s="25"/>
    </row>
    <row r="23" spans="1:17" ht="15" customHeight="1" x14ac:dyDescent="0.25">
      <c r="A23" s="24" t="s">
        <v>149</v>
      </c>
      <c r="B23" s="24" t="s">
        <v>149</v>
      </c>
      <c r="C23" s="25">
        <v>0</v>
      </c>
      <c r="D23" s="25"/>
      <c r="E23" s="25"/>
      <c r="F23" s="25" t="s">
        <v>24</v>
      </c>
      <c r="G23" s="25" t="s">
        <v>24</v>
      </c>
      <c r="H23" s="25"/>
      <c r="I23" s="25">
        <v>0</v>
      </c>
    </row>
  </sheetData>
  <autoFilter ref="A2:I16" xr:uid="{E4F58DA2-30E4-468C-809D-27A907091F53}">
    <sortState xmlns:xlrd2="http://schemas.microsoft.com/office/spreadsheetml/2017/richdata2" ref="A4:I16">
      <sortCondition ref="B3:B16"/>
    </sortState>
  </autoFilter>
  <mergeCells count="9">
    <mergeCell ref="I1:I2"/>
    <mergeCell ref="P1:P2"/>
    <mergeCell ref="Q1:Q2"/>
    <mergeCell ref="A1:A2"/>
    <mergeCell ref="B1:B2"/>
    <mergeCell ref="C1:C2"/>
    <mergeCell ref="D1:E1"/>
    <mergeCell ref="F1:G1"/>
    <mergeCell ref="H1:H2"/>
  </mergeCells>
  <conditionalFormatting sqref="P3:P11 C3:I104858">
    <cfRule type="cellIs" dxfId="7" priority="1" operator="equal">
      <formula>$P$7</formula>
    </cfRule>
    <cfRule type="expression" dxfId="6" priority="2">
      <formula>AND(C3=$P$3,C3&lt;&gt;"")</formula>
    </cfRule>
    <cfRule type="cellIs" dxfId="5" priority="3" operator="equal">
      <formula>$P$4</formula>
    </cfRule>
    <cfRule type="cellIs" dxfId="4" priority="4" operator="equal">
      <formula>$P$5</formula>
    </cfRule>
  </conditionalFormatting>
  <dataValidations count="1">
    <dataValidation type="list" allowBlank="1" showInputMessage="1" showErrorMessage="1" sqref="Q17" xr:uid="{30C6B831-84EB-4D45-A484-708B720B1729}">
      <formula1>$A$3:$A$33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F5FF8-C953-4063-876D-BBF7F3512779}">
  <sheetPr codeName="Лист6">
    <outlinePr summaryBelow="0" summaryRight="0"/>
  </sheetPr>
  <dimension ref="A1:U3"/>
  <sheetViews>
    <sheetView tabSelected="1" zoomScale="90" zoomScaleNormal="90" workbookViewId="0">
      <pane ySplit="3" topLeftCell="A4" activePane="bottomLeft" state="frozenSplit"/>
      <selection pane="bottomLeft" activeCell="C21" sqref="C21"/>
    </sheetView>
  </sheetViews>
  <sheetFormatPr defaultRowHeight="15" x14ac:dyDescent="0.25"/>
  <cols>
    <col min="1" max="1" width="10.5703125" style="5" customWidth="1"/>
    <col min="2" max="2" width="13" style="7" customWidth="1"/>
    <col min="3" max="3" width="65.5703125" style="5" customWidth="1"/>
    <col min="4" max="4" width="20.7109375" style="5" customWidth="1"/>
    <col min="5" max="5" width="10.7109375" style="5" customWidth="1"/>
    <col min="6" max="6" width="5.7109375" style="6" customWidth="1"/>
    <col min="7" max="13" width="8.7109375" style="43" customWidth="1"/>
    <col min="14" max="20" width="8.7109375" style="6" customWidth="1"/>
    <col min="21" max="21" width="30" style="6" customWidth="1"/>
  </cols>
  <sheetData>
    <row r="1" spans="1:21" s="23" customFormat="1" ht="30" customHeight="1" x14ac:dyDescent="0.25">
      <c r="A1" s="128"/>
      <c r="B1" s="129"/>
      <c r="C1" s="130"/>
      <c r="D1" s="126" t="s">
        <v>168</v>
      </c>
      <c r="E1" s="127"/>
      <c r="F1" s="126"/>
      <c r="G1" s="136" t="s">
        <v>143</v>
      </c>
      <c r="H1" s="136"/>
      <c r="I1" s="136"/>
      <c r="J1" s="136"/>
      <c r="K1" s="136"/>
      <c r="L1" s="136"/>
      <c r="M1" s="136"/>
      <c r="N1" s="131" t="s">
        <v>142</v>
      </c>
      <c r="O1" s="131"/>
      <c r="P1" s="131"/>
      <c r="Q1" s="131"/>
      <c r="R1" s="131"/>
      <c r="S1" s="131"/>
      <c r="T1" s="131"/>
      <c r="U1" s="131" t="s">
        <v>18</v>
      </c>
    </row>
    <row r="2" spans="1:21" s="23" customFormat="1" ht="30" customHeight="1" x14ac:dyDescent="0.25">
      <c r="A2" s="126" t="s">
        <v>29</v>
      </c>
      <c r="B2" s="132" t="s">
        <v>25</v>
      </c>
      <c r="C2" s="126" t="s">
        <v>26</v>
      </c>
      <c r="D2" s="133" t="s">
        <v>28</v>
      </c>
      <c r="E2" s="134" t="s">
        <v>27</v>
      </c>
      <c r="F2" s="134" t="s">
        <v>57</v>
      </c>
      <c r="G2" s="39"/>
      <c r="H2" s="136" t="s">
        <v>12</v>
      </c>
      <c r="I2" s="136"/>
      <c r="J2" s="137" t="s">
        <v>139</v>
      </c>
      <c r="K2" s="136"/>
      <c r="L2" s="39"/>
      <c r="M2" s="39"/>
      <c r="N2" s="40"/>
      <c r="O2" s="131" t="s">
        <v>12</v>
      </c>
      <c r="P2" s="131"/>
      <c r="Q2" s="135" t="s">
        <v>139</v>
      </c>
      <c r="R2" s="131"/>
      <c r="S2" s="40"/>
      <c r="T2" s="40"/>
      <c r="U2" s="131"/>
    </row>
    <row r="3" spans="1:21" s="4" customFormat="1" ht="80.099999999999994" customHeight="1" x14ac:dyDescent="0.25">
      <c r="A3" s="126"/>
      <c r="B3" s="132"/>
      <c r="C3" s="126"/>
      <c r="D3" s="133"/>
      <c r="E3" s="134"/>
      <c r="F3" s="134"/>
      <c r="G3" s="41" t="s">
        <v>10</v>
      </c>
      <c r="H3" s="41" t="s">
        <v>9</v>
      </c>
      <c r="I3" s="41" t="s">
        <v>11</v>
      </c>
      <c r="J3" s="41" t="s">
        <v>140</v>
      </c>
      <c r="K3" s="41" t="s">
        <v>141</v>
      </c>
      <c r="L3" s="41" t="s">
        <v>13</v>
      </c>
      <c r="M3" s="41" t="s">
        <v>14</v>
      </c>
      <c r="N3" s="42" t="s">
        <v>10</v>
      </c>
      <c r="O3" s="42" t="s">
        <v>9</v>
      </c>
      <c r="P3" s="42" t="s">
        <v>11</v>
      </c>
      <c r="Q3" s="42" t="s">
        <v>140</v>
      </c>
      <c r="R3" s="42" t="s">
        <v>141</v>
      </c>
      <c r="S3" s="42" t="s">
        <v>13</v>
      </c>
      <c r="T3" s="42" t="s">
        <v>14</v>
      </c>
      <c r="U3" s="131"/>
    </row>
  </sheetData>
  <sheetProtection formatCells="0" formatColumns="0" formatRows="0" insertColumns="0" insertRows="0" insertHyperlinks="0" deleteColumns="0" deleteRows="0" sort="0" autoFilter="0" pivotTables="0"/>
  <autoFilter ref="A3:U3" xr:uid="{448F5FF8-C953-4063-876D-BBF7F3512779}"/>
  <mergeCells count="15">
    <mergeCell ref="D1:F1"/>
    <mergeCell ref="A1:C1"/>
    <mergeCell ref="U1:U3"/>
    <mergeCell ref="A2:A3"/>
    <mergeCell ref="B2:B3"/>
    <mergeCell ref="C2:C3"/>
    <mergeCell ref="D2:D3"/>
    <mergeCell ref="F2:F3"/>
    <mergeCell ref="O2:P2"/>
    <mergeCell ref="Q2:R2"/>
    <mergeCell ref="G1:M1"/>
    <mergeCell ref="N1:T1"/>
    <mergeCell ref="H2:I2"/>
    <mergeCell ref="J2:K2"/>
    <mergeCell ref="E2:E3"/>
  </mergeCells>
  <conditionalFormatting sqref="N1:T1048576">
    <cfRule type="expression" dxfId="3" priority="3">
      <formula>AND(N1=0,N1&lt;&gt;"")</formula>
    </cfRule>
  </conditionalFormatting>
  <conditionalFormatting sqref="G4:M1048576">
    <cfRule type="expression" dxfId="2" priority="5">
      <formula>OR(N4&lt;G4,N4&gt;G4)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21394E-7F9E-4C5A-9A49-2BB5E9D34BDC}">
          <x14:formula1>
            <xm:f>Типы!$A$3:$A$33</xm:f>
          </x14:formula1>
          <xm:sqref>U1:U1048576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65ED1-71DA-45E0-B0D0-FE4B3E00E371}">
  <sheetPr codeName="Лист5"/>
  <dimension ref="A1:F172"/>
  <sheetViews>
    <sheetView topLeftCell="A156" workbookViewId="0">
      <selection activeCell="C173" sqref="C173"/>
    </sheetView>
  </sheetViews>
  <sheetFormatPr defaultRowHeight="30" customHeight="1" x14ac:dyDescent="0.25"/>
  <cols>
    <col min="1" max="1" width="36.5703125" style="16" customWidth="1"/>
    <col min="2" max="2" width="27.28515625" style="16" customWidth="1"/>
    <col min="3" max="4" width="14.85546875" style="14" customWidth="1"/>
    <col min="5" max="5" width="14.85546875" style="15" customWidth="1"/>
    <col min="6" max="6" width="12.85546875" style="15" customWidth="1"/>
    <col min="7" max="16384" width="9.140625" style="15"/>
  </cols>
  <sheetData>
    <row r="1" spans="1:6" ht="30" customHeight="1" x14ac:dyDescent="0.25">
      <c r="A1" s="17" t="s">
        <v>3</v>
      </c>
      <c r="B1" s="17" t="s">
        <v>95</v>
      </c>
      <c r="C1" s="17" t="s">
        <v>93</v>
      </c>
      <c r="D1" s="17" t="s">
        <v>94</v>
      </c>
      <c r="E1" s="18" t="s">
        <v>96</v>
      </c>
      <c r="F1" s="19">
        <v>0.08</v>
      </c>
    </row>
    <row r="2" spans="1:6" ht="30" customHeight="1" x14ac:dyDescent="0.25">
      <c r="A2" s="16" t="s">
        <v>62</v>
      </c>
      <c r="B2" s="16" t="s">
        <v>58</v>
      </c>
      <c r="C2" s="14">
        <v>50</v>
      </c>
      <c r="D2" s="14">
        <f>C2*$F$1</f>
        <v>4</v>
      </c>
    </row>
    <row r="3" spans="1:6" ht="30" customHeight="1" x14ac:dyDescent="0.25">
      <c r="A3" s="16" t="s">
        <v>64</v>
      </c>
      <c r="B3" s="16" t="s">
        <v>58</v>
      </c>
      <c r="C3" s="14">
        <v>50</v>
      </c>
      <c r="D3" s="14">
        <f>C3*$F$1</f>
        <v>4</v>
      </c>
    </row>
    <row r="4" spans="1:6" ht="30" customHeight="1" x14ac:dyDescent="0.25">
      <c r="A4" s="16" t="s">
        <v>67</v>
      </c>
      <c r="B4" s="16" t="s">
        <v>58</v>
      </c>
      <c r="C4" s="14">
        <v>50</v>
      </c>
      <c r="D4" s="14">
        <f>C4*$F$1</f>
        <v>4</v>
      </c>
    </row>
    <row r="5" spans="1:6" ht="30" customHeight="1" x14ac:dyDescent="0.25">
      <c r="A5" s="16" t="s">
        <v>71</v>
      </c>
      <c r="B5" s="16" t="s">
        <v>58</v>
      </c>
      <c r="C5" s="14">
        <v>50</v>
      </c>
      <c r="D5" s="14">
        <f>C5*$F$1</f>
        <v>4</v>
      </c>
    </row>
    <row r="6" spans="1:6" ht="30" customHeight="1" x14ac:dyDescent="0.25">
      <c r="A6" s="16" t="s">
        <v>73</v>
      </c>
      <c r="B6" s="16" t="s">
        <v>58</v>
      </c>
      <c r="C6" s="14">
        <v>50</v>
      </c>
      <c r="D6" s="14">
        <f t="shared" ref="D6:D69" si="0">C6*$F$1</f>
        <v>4</v>
      </c>
    </row>
    <row r="7" spans="1:6" ht="30" customHeight="1" x14ac:dyDescent="0.25">
      <c r="A7" s="16" t="s">
        <v>186</v>
      </c>
      <c r="B7" s="16" t="s">
        <v>58</v>
      </c>
      <c r="C7" s="14">
        <v>50</v>
      </c>
      <c r="D7" s="14">
        <f t="shared" si="0"/>
        <v>4</v>
      </c>
    </row>
    <row r="8" spans="1:6" ht="30" customHeight="1" x14ac:dyDescent="0.25">
      <c r="A8" s="16" t="s">
        <v>187</v>
      </c>
      <c r="B8" s="16" t="s">
        <v>58</v>
      </c>
      <c r="C8" s="14">
        <v>50</v>
      </c>
      <c r="D8" s="14">
        <f t="shared" si="0"/>
        <v>4</v>
      </c>
    </row>
    <row r="9" spans="1:6" ht="30" customHeight="1" x14ac:dyDescent="0.25">
      <c r="A9" s="16" t="s">
        <v>80</v>
      </c>
      <c r="B9" s="16" t="s">
        <v>58</v>
      </c>
      <c r="C9" s="14">
        <v>50</v>
      </c>
      <c r="D9" s="14">
        <f t="shared" si="0"/>
        <v>4</v>
      </c>
    </row>
    <row r="10" spans="1:6" ht="30" customHeight="1" x14ac:dyDescent="0.25">
      <c r="A10" s="16" t="s">
        <v>82</v>
      </c>
      <c r="B10" s="16" t="s">
        <v>58</v>
      </c>
      <c r="C10" s="14">
        <v>50</v>
      </c>
      <c r="D10" s="14">
        <f t="shared" si="0"/>
        <v>4</v>
      </c>
      <c r="E10" s="21"/>
    </row>
    <row r="11" spans="1:6" ht="30" customHeight="1" x14ac:dyDescent="0.25">
      <c r="A11" s="16" t="s">
        <v>188</v>
      </c>
      <c r="B11" s="16" t="s">
        <v>58</v>
      </c>
      <c r="C11" s="14">
        <v>50</v>
      </c>
      <c r="D11" s="14">
        <f t="shared" si="0"/>
        <v>4</v>
      </c>
    </row>
    <row r="12" spans="1:6" ht="30" customHeight="1" x14ac:dyDescent="0.25">
      <c r="A12" s="16" t="s">
        <v>189</v>
      </c>
      <c r="B12" s="16" t="s">
        <v>58</v>
      </c>
      <c r="C12" s="14">
        <v>50</v>
      </c>
      <c r="D12" s="14">
        <f t="shared" si="0"/>
        <v>4</v>
      </c>
    </row>
    <row r="13" spans="1:6" ht="30" customHeight="1" x14ac:dyDescent="0.25">
      <c r="A13" s="16" t="s">
        <v>4</v>
      </c>
      <c r="B13" s="16" t="s">
        <v>59</v>
      </c>
      <c r="C13" s="14">
        <v>10</v>
      </c>
      <c r="D13" s="14">
        <f t="shared" si="0"/>
        <v>0.8</v>
      </c>
    </row>
    <row r="14" spans="1:6" ht="30" customHeight="1" x14ac:dyDescent="0.25">
      <c r="A14" s="16" t="s">
        <v>65</v>
      </c>
      <c r="B14" s="16" t="s">
        <v>59</v>
      </c>
      <c r="C14" s="14">
        <v>10</v>
      </c>
      <c r="D14" s="14">
        <f t="shared" si="0"/>
        <v>0.8</v>
      </c>
    </row>
    <row r="15" spans="1:6" ht="30" customHeight="1" x14ac:dyDescent="0.25">
      <c r="A15" s="16" t="s">
        <v>68</v>
      </c>
      <c r="B15" s="16" t="s">
        <v>59</v>
      </c>
      <c r="C15" s="14">
        <v>10</v>
      </c>
      <c r="D15" s="14">
        <f t="shared" si="0"/>
        <v>0.8</v>
      </c>
    </row>
    <row r="16" spans="1:6" ht="30" customHeight="1" x14ac:dyDescent="0.25">
      <c r="A16" s="16" t="s">
        <v>190</v>
      </c>
      <c r="B16" s="16" t="s">
        <v>59</v>
      </c>
      <c r="C16" s="14">
        <v>10</v>
      </c>
      <c r="D16" s="14">
        <f t="shared" si="0"/>
        <v>0.8</v>
      </c>
    </row>
    <row r="17" spans="1:4" ht="30" customHeight="1" x14ac:dyDescent="0.25">
      <c r="A17" s="16" t="s">
        <v>191</v>
      </c>
      <c r="B17" s="16" t="s">
        <v>59</v>
      </c>
      <c r="C17" s="14">
        <v>10</v>
      </c>
      <c r="D17" s="14">
        <f t="shared" si="0"/>
        <v>0.8</v>
      </c>
    </row>
    <row r="18" spans="1:4" ht="30" customHeight="1" x14ac:dyDescent="0.25">
      <c r="A18" s="16" t="s">
        <v>192</v>
      </c>
      <c r="B18" s="16" t="s">
        <v>59</v>
      </c>
      <c r="C18" s="14">
        <v>10</v>
      </c>
      <c r="D18" s="14">
        <f t="shared" si="0"/>
        <v>0.8</v>
      </c>
    </row>
    <row r="19" spans="1:4" ht="30" customHeight="1" x14ac:dyDescent="0.25">
      <c r="A19" s="16" t="s">
        <v>77</v>
      </c>
      <c r="B19" s="16" t="s">
        <v>59</v>
      </c>
      <c r="C19" s="14">
        <v>10</v>
      </c>
      <c r="D19" s="14">
        <f t="shared" si="0"/>
        <v>0.8</v>
      </c>
    </row>
    <row r="20" spans="1:4" ht="30" customHeight="1" x14ac:dyDescent="0.25">
      <c r="A20" s="16" t="s">
        <v>193</v>
      </c>
      <c r="B20" s="16" t="s">
        <v>59</v>
      </c>
      <c r="C20" s="14">
        <v>10</v>
      </c>
      <c r="D20" s="14">
        <f t="shared" si="0"/>
        <v>0.8</v>
      </c>
    </row>
    <row r="21" spans="1:4" ht="30" customHeight="1" x14ac:dyDescent="0.25">
      <c r="A21" s="16" t="s">
        <v>83</v>
      </c>
      <c r="B21" s="16" t="s">
        <v>59</v>
      </c>
      <c r="C21" s="14">
        <v>10</v>
      </c>
      <c r="D21" s="14">
        <f t="shared" si="0"/>
        <v>0.8</v>
      </c>
    </row>
    <row r="22" spans="1:4" ht="30" customHeight="1" x14ac:dyDescent="0.25">
      <c r="A22" s="16" t="s">
        <v>85</v>
      </c>
      <c r="B22" s="16" t="s">
        <v>59</v>
      </c>
      <c r="C22" s="14">
        <v>10</v>
      </c>
      <c r="D22" s="14">
        <f t="shared" si="0"/>
        <v>0.8</v>
      </c>
    </row>
    <row r="23" spans="1:4" ht="30" customHeight="1" x14ac:dyDescent="0.25">
      <c r="A23" s="16" t="s">
        <v>194</v>
      </c>
      <c r="B23" s="16" t="s">
        <v>59</v>
      </c>
      <c r="C23" s="14">
        <v>10</v>
      </c>
      <c r="D23" s="14">
        <f t="shared" si="0"/>
        <v>0.8</v>
      </c>
    </row>
    <row r="24" spans="1:4" ht="30" customHeight="1" x14ac:dyDescent="0.25">
      <c r="A24" s="16" t="s">
        <v>88</v>
      </c>
      <c r="B24" s="16" t="s">
        <v>59</v>
      </c>
      <c r="C24" s="14">
        <v>10</v>
      </c>
      <c r="D24" s="14">
        <f t="shared" si="0"/>
        <v>0.8</v>
      </c>
    </row>
    <row r="25" spans="1:4" ht="30" customHeight="1" x14ac:dyDescent="0.25">
      <c r="A25" s="16" t="s">
        <v>195</v>
      </c>
      <c r="B25" s="16" t="s">
        <v>61</v>
      </c>
      <c r="C25" s="14">
        <v>5</v>
      </c>
      <c r="D25" s="14">
        <f t="shared" si="0"/>
        <v>0.4</v>
      </c>
    </row>
    <row r="26" spans="1:4" ht="30" customHeight="1" x14ac:dyDescent="0.25">
      <c r="A26" s="16" t="s">
        <v>70</v>
      </c>
      <c r="B26" s="16" t="s">
        <v>61</v>
      </c>
      <c r="C26" s="14">
        <v>5</v>
      </c>
      <c r="D26" s="14">
        <f t="shared" si="0"/>
        <v>0.4</v>
      </c>
    </row>
    <row r="27" spans="1:4" ht="30" customHeight="1" x14ac:dyDescent="0.25">
      <c r="A27" s="16" t="s">
        <v>196</v>
      </c>
      <c r="B27" s="16" t="s">
        <v>61</v>
      </c>
      <c r="C27" s="14">
        <v>5</v>
      </c>
      <c r="D27" s="14">
        <f t="shared" si="0"/>
        <v>0.4</v>
      </c>
    </row>
    <row r="28" spans="1:4" ht="30" customHeight="1" x14ac:dyDescent="0.25">
      <c r="A28" s="16" t="s">
        <v>197</v>
      </c>
      <c r="B28" s="16" t="s">
        <v>61</v>
      </c>
      <c r="C28" s="14">
        <v>5</v>
      </c>
      <c r="D28" s="14">
        <f t="shared" si="0"/>
        <v>0.4</v>
      </c>
    </row>
    <row r="29" spans="1:4" ht="30" customHeight="1" x14ac:dyDescent="0.25">
      <c r="A29" s="16" t="s">
        <v>76</v>
      </c>
      <c r="B29" s="16" t="s">
        <v>61</v>
      </c>
      <c r="C29" s="14">
        <v>5</v>
      </c>
      <c r="D29" s="14">
        <f t="shared" si="0"/>
        <v>0.4</v>
      </c>
    </row>
    <row r="30" spans="1:4" ht="30" customHeight="1" x14ac:dyDescent="0.25">
      <c r="A30" s="16" t="s">
        <v>79</v>
      </c>
      <c r="B30" s="16" t="s">
        <v>61</v>
      </c>
      <c r="C30" s="14">
        <v>5</v>
      </c>
      <c r="D30" s="14">
        <f t="shared" si="0"/>
        <v>0.4</v>
      </c>
    </row>
    <row r="31" spans="1:4" ht="30" customHeight="1" x14ac:dyDescent="0.25">
      <c r="A31" s="16" t="s">
        <v>63</v>
      </c>
      <c r="B31" s="16" t="s">
        <v>60</v>
      </c>
      <c r="C31" s="14">
        <v>1</v>
      </c>
      <c r="D31" s="14">
        <f t="shared" si="0"/>
        <v>0.08</v>
      </c>
    </row>
    <row r="32" spans="1:4" ht="30" customHeight="1" x14ac:dyDescent="0.25">
      <c r="A32" s="16" t="s">
        <v>66</v>
      </c>
      <c r="B32" s="16" t="s">
        <v>60</v>
      </c>
      <c r="C32" s="14">
        <v>1</v>
      </c>
      <c r="D32" s="14">
        <f t="shared" si="0"/>
        <v>0.08</v>
      </c>
    </row>
    <row r="33" spans="1:4" ht="30" customHeight="1" x14ac:dyDescent="0.25">
      <c r="A33" s="16" t="s">
        <v>69</v>
      </c>
      <c r="B33" s="16" t="s">
        <v>60</v>
      </c>
      <c r="C33" s="14">
        <v>1</v>
      </c>
      <c r="D33" s="14">
        <f t="shared" si="0"/>
        <v>0.08</v>
      </c>
    </row>
    <row r="34" spans="1:4" ht="30" customHeight="1" x14ac:dyDescent="0.25">
      <c r="A34" s="16" t="s">
        <v>72</v>
      </c>
      <c r="B34" s="16" t="s">
        <v>60</v>
      </c>
      <c r="C34" s="14">
        <v>1</v>
      </c>
      <c r="D34" s="14">
        <f t="shared" si="0"/>
        <v>0.08</v>
      </c>
    </row>
    <row r="35" spans="1:4" ht="30" customHeight="1" x14ac:dyDescent="0.25">
      <c r="A35" s="16" t="s">
        <v>74</v>
      </c>
      <c r="B35" s="16" t="s">
        <v>60</v>
      </c>
      <c r="C35" s="14">
        <v>1</v>
      </c>
      <c r="D35" s="14">
        <f t="shared" si="0"/>
        <v>0.08</v>
      </c>
    </row>
    <row r="36" spans="1:4" ht="30" customHeight="1" x14ac:dyDescent="0.25">
      <c r="A36" s="16" t="s">
        <v>75</v>
      </c>
      <c r="B36" s="16" t="s">
        <v>60</v>
      </c>
      <c r="C36" s="14">
        <v>1</v>
      </c>
      <c r="D36" s="14">
        <f t="shared" si="0"/>
        <v>0.08</v>
      </c>
    </row>
    <row r="37" spans="1:4" ht="30" customHeight="1" x14ac:dyDescent="0.25">
      <c r="A37" s="16" t="s">
        <v>78</v>
      </c>
      <c r="B37" s="16" t="s">
        <v>60</v>
      </c>
      <c r="C37" s="14">
        <v>1</v>
      </c>
      <c r="D37" s="14">
        <f t="shared" si="0"/>
        <v>0.08</v>
      </c>
    </row>
    <row r="38" spans="1:4" ht="30" customHeight="1" x14ac:dyDescent="0.25">
      <c r="A38" s="16" t="s">
        <v>81</v>
      </c>
      <c r="B38" s="16" t="s">
        <v>60</v>
      </c>
      <c r="C38" s="14">
        <v>1</v>
      </c>
      <c r="D38" s="14">
        <f t="shared" si="0"/>
        <v>0.08</v>
      </c>
    </row>
    <row r="39" spans="1:4" ht="30" customHeight="1" x14ac:dyDescent="0.25">
      <c r="A39" s="16" t="s">
        <v>84</v>
      </c>
      <c r="B39" s="16" t="s">
        <v>60</v>
      </c>
      <c r="C39" s="14">
        <v>1</v>
      </c>
      <c r="D39" s="14">
        <f t="shared" si="0"/>
        <v>0.08</v>
      </c>
    </row>
    <row r="40" spans="1:4" ht="30" customHeight="1" x14ac:dyDescent="0.25">
      <c r="A40" s="16" t="s">
        <v>86</v>
      </c>
      <c r="B40" s="16" t="s">
        <v>60</v>
      </c>
      <c r="C40" s="14">
        <v>1</v>
      </c>
      <c r="D40" s="14">
        <f t="shared" si="0"/>
        <v>0.08</v>
      </c>
    </row>
    <row r="41" spans="1:4" ht="30" customHeight="1" x14ac:dyDescent="0.25">
      <c r="A41" s="16" t="s">
        <v>87</v>
      </c>
      <c r="B41" s="16" t="s">
        <v>60</v>
      </c>
      <c r="C41" s="14">
        <v>1</v>
      </c>
      <c r="D41" s="14">
        <f t="shared" si="0"/>
        <v>0.08</v>
      </c>
    </row>
    <row r="42" spans="1:4" ht="30" customHeight="1" x14ac:dyDescent="0.25">
      <c r="A42" s="16" t="s">
        <v>198</v>
      </c>
      <c r="B42" s="16" t="s">
        <v>60</v>
      </c>
      <c r="C42" s="14">
        <v>1</v>
      </c>
      <c r="D42" s="14">
        <f t="shared" si="0"/>
        <v>0.08</v>
      </c>
    </row>
    <row r="43" spans="1:4" ht="30" customHeight="1" x14ac:dyDescent="0.25">
      <c r="A43" s="16" t="s">
        <v>199</v>
      </c>
      <c r="B43" s="16" t="s">
        <v>60</v>
      </c>
      <c r="C43" s="14">
        <v>1</v>
      </c>
      <c r="D43" s="14">
        <f t="shared" si="0"/>
        <v>0.08</v>
      </c>
    </row>
    <row r="44" spans="1:4" ht="30" customHeight="1" x14ac:dyDescent="0.25">
      <c r="A44" s="16" t="s">
        <v>200</v>
      </c>
      <c r="B44" s="16" t="s">
        <v>60</v>
      </c>
      <c r="C44" s="14">
        <v>1</v>
      </c>
      <c r="D44" s="14">
        <f t="shared" si="0"/>
        <v>0.08</v>
      </c>
    </row>
    <row r="45" spans="1:4" ht="30" customHeight="1" x14ac:dyDescent="0.25">
      <c r="A45" s="16" t="s">
        <v>89</v>
      </c>
      <c r="B45" s="16" t="s">
        <v>60</v>
      </c>
      <c r="C45" s="14">
        <v>1</v>
      </c>
      <c r="D45" s="14">
        <f t="shared" si="0"/>
        <v>0.08</v>
      </c>
    </row>
    <row r="46" spans="1:4" ht="30" customHeight="1" x14ac:dyDescent="0.25">
      <c r="A46" s="16" t="s">
        <v>90</v>
      </c>
      <c r="B46" s="16" t="s">
        <v>60</v>
      </c>
      <c r="C46" s="14">
        <v>1</v>
      </c>
      <c r="D46" s="14">
        <f t="shared" si="0"/>
        <v>0.08</v>
      </c>
    </row>
    <row r="47" spans="1:4" ht="30" customHeight="1" x14ac:dyDescent="0.25">
      <c r="A47" s="16" t="s">
        <v>201</v>
      </c>
      <c r="B47" s="16" t="s">
        <v>60</v>
      </c>
      <c r="C47" s="14">
        <v>1</v>
      </c>
      <c r="D47" s="14">
        <f t="shared" si="0"/>
        <v>0.08</v>
      </c>
    </row>
    <row r="48" spans="1:4" ht="30" customHeight="1" x14ac:dyDescent="0.25">
      <c r="A48" s="16" t="s">
        <v>202</v>
      </c>
      <c r="B48" s="16" t="s">
        <v>60</v>
      </c>
      <c r="C48" s="14">
        <v>1</v>
      </c>
      <c r="D48" s="14">
        <f t="shared" si="0"/>
        <v>0.08</v>
      </c>
    </row>
    <row r="49" spans="1:4" ht="30" customHeight="1" x14ac:dyDescent="0.25">
      <c r="A49" s="16" t="s">
        <v>91</v>
      </c>
      <c r="B49" s="16" t="s">
        <v>60</v>
      </c>
      <c r="C49" s="14">
        <v>1</v>
      </c>
      <c r="D49" s="14">
        <f t="shared" si="0"/>
        <v>0.08</v>
      </c>
    </row>
    <row r="50" spans="1:4" ht="30" customHeight="1" x14ac:dyDescent="0.25">
      <c r="A50" s="16" t="s">
        <v>203</v>
      </c>
      <c r="B50" s="16" t="s">
        <v>60</v>
      </c>
      <c r="C50" s="14">
        <v>1</v>
      </c>
      <c r="D50" s="14">
        <f t="shared" si="0"/>
        <v>0.08</v>
      </c>
    </row>
    <row r="51" spans="1:4" ht="30" customHeight="1" x14ac:dyDescent="0.25">
      <c r="A51" s="16" t="s">
        <v>204</v>
      </c>
      <c r="B51" s="16" t="s">
        <v>60</v>
      </c>
      <c r="C51" s="14">
        <v>1</v>
      </c>
      <c r="D51" s="14">
        <f t="shared" si="0"/>
        <v>0.08</v>
      </c>
    </row>
    <row r="52" spans="1:4" ht="30" customHeight="1" x14ac:dyDescent="0.25">
      <c r="A52" s="16" t="s">
        <v>205</v>
      </c>
      <c r="B52" s="16" t="s">
        <v>60</v>
      </c>
      <c r="C52" s="14">
        <v>1</v>
      </c>
      <c r="D52" s="14">
        <f t="shared" si="0"/>
        <v>0.08</v>
      </c>
    </row>
    <row r="53" spans="1:4" ht="30" customHeight="1" x14ac:dyDescent="0.25">
      <c r="A53" s="16" t="s">
        <v>206</v>
      </c>
      <c r="B53" s="16" t="s">
        <v>60</v>
      </c>
      <c r="C53" s="14">
        <v>1</v>
      </c>
      <c r="D53" s="14">
        <f t="shared" si="0"/>
        <v>0.08</v>
      </c>
    </row>
    <row r="54" spans="1:4" ht="30" customHeight="1" x14ac:dyDescent="0.25">
      <c r="A54" s="16" t="s">
        <v>207</v>
      </c>
      <c r="B54" s="16" t="s">
        <v>60</v>
      </c>
      <c r="C54" s="14">
        <v>1</v>
      </c>
      <c r="D54" s="14">
        <f t="shared" si="0"/>
        <v>0.08</v>
      </c>
    </row>
    <row r="55" spans="1:4" ht="30" customHeight="1" x14ac:dyDescent="0.25">
      <c r="A55" s="16" t="s">
        <v>208</v>
      </c>
      <c r="B55" s="16" t="s">
        <v>60</v>
      </c>
      <c r="C55" s="14">
        <v>1</v>
      </c>
      <c r="D55" s="14">
        <f t="shared" si="0"/>
        <v>0.08</v>
      </c>
    </row>
    <row r="56" spans="1:4" ht="30" customHeight="1" x14ac:dyDescent="0.25">
      <c r="A56" s="16" t="s">
        <v>92</v>
      </c>
      <c r="B56" s="16" t="s">
        <v>60</v>
      </c>
      <c r="C56" s="14">
        <v>1</v>
      </c>
      <c r="D56" s="14">
        <f t="shared" si="0"/>
        <v>0.08</v>
      </c>
    </row>
    <row r="57" spans="1:4" ht="30" customHeight="1" x14ac:dyDescent="0.25">
      <c r="A57" s="16" t="s">
        <v>97</v>
      </c>
      <c r="B57" s="16" t="s">
        <v>60</v>
      </c>
      <c r="C57" s="14">
        <v>1</v>
      </c>
      <c r="D57" s="14">
        <f t="shared" si="0"/>
        <v>0.08</v>
      </c>
    </row>
    <row r="58" spans="1:4" ht="30" customHeight="1" x14ac:dyDescent="0.25">
      <c r="A58" s="16" t="s">
        <v>98</v>
      </c>
      <c r="B58" s="16" t="s">
        <v>60</v>
      </c>
      <c r="C58" s="14">
        <v>1</v>
      </c>
      <c r="D58" s="14">
        <f t="shared" si="0"/>
        <v>0.08</v>
      </c>
    </row>
    <row r="59" spans="1:4" ht="30" customHeight="1" x14ac:dyDescent="0.25">
      <c r="A59" s="16" t="s">
        <v>99</v>
      </c>
      <c r="B59" s="16" t="s">
        <v>60</v>
      </c>
      <c r="C59" s="14">
        <v>1</v>
      </c>
      <c r="D59" s="14">
        <f t="shared" si="0"/>
        <v>0.08</v>
      </c>
    </row>
    <row r="60" spans="1:4" ht="30" customHeight="1" x14ac:dyDescent="0.25">
      <c r="A60" s="16" t="s">
        <v>209</v>
      </c>
      <c r="B60" s="16" t="s">
        <v>60</v>
      </c>
      <c r="C60" s="14">
        <v>1</v>
      </c>
      <c r="D60" s="14">
        <f t="shared" si="0"/>
        <v>0.08</v>
      </c>
    </row>
    <row r="61" spans="1:4" ht="30" customHeight="1" x14ac:dyDescent="0.25">
      <c r="A61" s="16" t="s">
        <v>100</v>
      </c>
      <c r="B61" s="16" t="s">
        <v>60</v>
      </c>
      <c r="C61" s="14">
        <v>1</v>
      </c>
      <c r="D61" s="14">
        <f t="shared" si="0"/>
        <v>0.08</v>
      </c>
    </row>
    <row r="62" spans="1:4" ht="30" customHeight="1" x14ac:dyDescent="0.25">
      <c r="A62" s="16" t="s">
        <v>210</v>
      </c>
      <c r="B62" s="16" t="s">
        <v>60</v>
      </c>
      <c r="C62" s="14">
        <v>1</v>
      </c>
      <c r="D62" s="14">
        <f t="shared" si="0"/>
        <v>0.08</v>
      </c>
    </row>
    <row r="63" spans="1:4" ht="30" customHeight="1" x14ac:dyDescent="0.25">
      <c r="A63" s="16" t="s">
        <v>101</v>
      </c>
      <c r="B63" s="16" t="s">
        <v>60</v>
      </c>
      <c r="C63" s="14">
        <v>1</v>
      </c>
      <c r="D63" s="14">
        <f t="shared" si="0"/>
        <v>0.08</v>
      </c>
    </row>
    <row r="64" spans="1:4" ht="30" customHeight="1" x14ac:dyDescent="0.25">
      <c r="A64" s="16" t="s">
        <v>102</v>
      </c>
      <c r="B64" s="16" t="s">
        <v>61</v>
      </c>
      <c r="C64" s="14">
        <v>5</v>
      </c>
      <c r="D64" s="14">
        <f t="shared" si="0"/>
        <v>0.4</v>
      </c>
    </row>
    <row r="65" spans="1:4" ht="30" customHeight="1" x14ac:dyDescent="0.25">
      <c r="A65" s="16" t="s">
        <v>211</v>
      </c>
      <c r="B65" s="16" t="s">
        <v>58</v>
      </c>
      <c r="C65" s="14">
        <v>50</v>
      </c>
      <c r="D65" s="14">
        <f t="shared" si="0"/>
        <v>4</v>
      </c>
    </row>
    <row r="66" spans="1:4" ht="30" customHeight="1" x14ac:dyDescent="0.25">
      <c r="A66" s="16" t="s">
        <v>212</v>
      </c>
      <c r="B66" s="16" t="s">
        <v>58</v>
      </c>
      <c r="C66" s="14">
        <v>50</v>
      </c>
      <c r="D66" s="14">
        <f t="shared" si="0"/>
        <v>4</v>
      </c>
    </row>
    <row r="67" spans="1:4" ht="30" customHeight="1" x14ac:dyDescent="0.25">
      <c r="A67" s="16" t="s">
        <v>103</v>
      </c>
      <c r="B67" s="20" t="s">
        <v>104</v>
      </c>
      <c r="C67" s="14">
        <v>25</v>
      </c>
      <c r="D67" s="14">
        <f t="shared" si="0"/>
        <v>2</v>
      </c>
    </row>
    <row r="68" spans="1:4" ht="30" customHeight="1" x14ac:dyDescent="0.25">
      <c r="A68" s="16" t="s">
        <v>213</v>
      </c>
      <c r="B68" s="20" t="s">
        <v>105</v>
      </c>
      <c r="C68" s="14">
        <v>15</v>
      </c>
      <c r="D68" s="14">
        <f t="shared" si="0"/>
        <v>1.2</v>
      </c>
    </row>
    <row r="69" spans="1:4" ht="30" customHeight="1" x14ac:dyDescent="0.25">
      <c r="A69" s="16" t="s">
        <v>107</v>
      </c>
      <c r="B69" s="16" t="s">
        <v>60</v>
      </c>
      <c r="C69" s="14">
        <v>1</v>
      </c>
      <c r="D69" s="14">
        <f t="shared" si="0"/>
        <v>0.08</v>
      </c>
    </row>
    <row r="70" spans="1:4" ht="30" customHeight="1" x14ac:dyDescent="0.25">
      <c r="A70" s="5" t="s">
        <v>214</v>
      </c>
      <c r="B70" s="16" t="s">
        <v>60</v>
      </c>
      <c r="C70" s="14">
        <v>1</v>
      </c>
      <c r="D70" s="14">
        <f t="shared" ref="D70:D133" si="1">C70*$F$1</f>
        <v>0.08</v>
      </c>
    </row>
    <row r="71" spans="1:4" ht="30" customHeight="1" x14ac:dyDescent="0.25">
      <c r="A71" s="5" t="s">
        <v>215</v>
      </c>
      <c r="D71" s="14">
        <f t="shared" si="1"/>
        <v>0</v>
      </c>
    </row>
    <row r="72" spans="1:4" ht="30" customHeight="1" x14ac:dyDescent="0.25">
      <c r="A72" s="5" t="s">
        <v>108</v>
      </c>
      <c r="B72" s="16" t="s">
        <v>60</v>
      </c>
      <c r="C72" s="14">
        <v>1</v>
      </c>
      <c r="D72" s="14">
        <f t="shared" si="1"/>
        <v>0.08</v>
      </c>
    </row>
    <row r="73" spans="1:4" ht="30" customHeight="1" x14ac:dyDescent="0.25">
      <c r="A73" s="5" t="s">
        <v>117</v>
      </c>
      <c r="B73" s="16" t="s">
        <v>60</v>
      </c>
      <c r="C73" s="14">
        <v>1</v>
      </c>
      <c r="D73" s="14">
        <f t="shared" si="1"/>
        <v>0.08</v>
      </c>
    </row>
    <row r="74" spans="1:4" ht="30" customHeight="1" x14ac:dyDescent="0.25">
      <c r="A74" s="5" t="s">
        <v>1</v>
      </c>
      <c r="B74" s="16" t="s">
        <v>60</v>
      </c>
      <c r="C74" s="14">
        <v>1</v>
      </c>
      <c r="D74" s="14">
        <f t="shared" si="1"/>
        <v>0.08</v>
      </c>
    </row>
    <row r="75" spans="1:4" ht="30" customHeight="1" x14ac:dyDescent="0.25">
      <c r="A75" s="5" t="s">
        <v>120</v>
      </c>
      <c r="C75" s="14">
        <v>1</v>
      </c>
      <c r="D75" s="14">
        <f t="shared" si="1"/>
        <v>0.08</v>
      </c>
    </row>
    <row r="76" spans="1:4" ht="30" customHeight="1" x14ac:dyDescent="0.25">
      <c r="A76" s="5" t="s">
        <v>216</v>
      </c>
      <c r="C76" s="14">
        <v>1</v>
      </c>
      <c r="D76" s="14">
        <f t="shared" si="1"/>
        <v>0.08</v>
      </c>
    </row>
    <row r="77" spans="1:4" ht="30" customHeight="1" x14ac:dyDescent="0.25">
      <c r="A77" s="5" t="s">
        <v>112</v>
      </c>
      <c r="C77" s="14">
        <v>1</v>
      </c>
      <c r="D77" s="14">
        <f t="shared" si="1"/>
        <v>0.08</v>
      </c>
    </row>
    <row r="78" spans="1:4" ht="30" customHeight="1" x14ac:dyDescent="0.25">
      <c r="A78" s="5" t="s">
        <v>217</v>
      </c>
      <c r="C78" s="14">
        <v>1</v>
      </c>
      <c r="D78" s="14">
        <f t="shared" si="1"/>
        <v>0.08</v>
      </c>
    </row>
    <row r="79" spans="1:4" ht="30" customHeight="1" x14ac:dyDescent="0.25">
      <c r="A79" s="5" t="s">
        <v>218</v>
      </c>
      <c r="C79" s="14">
        <v>1</v>
      </c>
      <c r="D79" s="14">
        <f t="shared" si="1"/>
        <v>0.08</v>
      </c>
    </row>
    <row r="80" spans="1:4" ht="30" customHeight="1" x14ac:dyDescent="0.25">
      <c r="A80" s="5" t="s">
        <v>109</v>
      </c>
      <c r="C80" s="14">
        <v>1</v>
      </c>
      <c r="D80" s="14">
        <f t="shared" si="1"/>
        <v>0.08</v>
      </c>
    </row>
    <row r="81" spans="1:4" ht="30" customHeight="1" x14ac:dyDescent="0.25">
      <c r="A81" s="5" t="s">
        <v>219</v>
      </c>
      <c r="C81" s="14">
        <v>1</v>
      </c>
      <c r="D81" s="14">
        <f t="shared" si="1"/>
        <v>0.08</v>
      </c>
    </row>
    <row r="82" spans="1:4" ht="30" customHeight="1" x14ac:dyDescent="0.25">
      <c r="A82" s="5" t="s">
        <v>220</v>
      </c>
      <c r="C82" s="14">
        <v>1</v>
      </c>
      <c r="D82" s="14">
        <f t="shared" si="1"/>
        <v>0.08</v>
      </c>
    </row>
    <row r="83" spans="1:4" ht="30" customHeight="1" x14ac:dyDescent="0.25">
      <c r="A83" s="5" t="s">
        <v>221</v>
      </c>
      <c r="C83" s="14">
        <v>1</v>
      </c>
      <c r="D83" s="14">
        <f t="shared" si="1"/>
        <v>0.08</v>
      </c>
    </row>
    <row r="84" spans="1:4" ht="30" customHeight="1" x14ac:dyDescent="0.25">
      <c r="A84" s="5" t="s">
        <v>113</v>
      </c>
      <c r="C84" s="14">
        <v>1</v>
      </c>
      <c r="D84" s="14">
        <f t="shared" si="1"/>
        <v>0.08</v>
      </c>
    </row>
    <row r="85" spans="1:4" ht="30" customHeight="1" x14ac:dyDescent="0.25">
      <c r="A85" s="5" t="s">
        <v>222</v>
      </c>
      <c r="C85" s="14">
        <v>1</v>
      </c>
      <c r="D85" s="14">
        <f t="shared" si="1"/>
        <v>0.08</v>
      </c>
    </row>
    <row r="86" spans="1:4" ht="30" customHeight="1" x14ac:dyDescent="0.25">
      <c r="A86" s="5" t="s">
        <v>223</v>
      </c>
      <c r="C86" s="14">
        <v>1</v>
      </c>
      <c r="D86" s="14">
        <f t="shared" si="1"/>
        <v>0.08</v>
      </c>
    </row>
    <row r="87" spans="1:4" ht="30" customHeight="1" x14ac:dyDescent="0.25">
      <c r="A87" s="5" t="s">
        <v>224</v>
      </c>
      <c r="C87" s="14">
        <v>1</v>
      </c>
      <c r="D87" s="14">
        <f t="shared" si="1"/>
        <v>0.08</v>
      </c>
    </row>
    <row r="88" spans="1:4" ht="30" customHeight="1" x14ac:dyDescent="0.25">
      <c r="A88" s="5" t="s">
        <v>225</v>
      </c>
      <c r="C88" s="14">
        <v>1</v>
      </c>
      <c r="D88" s="14">
        <f t="shared" si="1"/>
        <v>0.08</v>
      </c>
    </row>
    <row r="89" spans="1:4" ht="30" customHeight="1" x14ac:dyDescent="0.25">
      <c r="A89" s="5" t="s">
        <v>226</v>
      </c>
      <c r="C89" s="14">
        <v>1</v>
      </c>
      <c r="D89" s="14">
        <f t="shared" si="1"/>
        <v>0.08</v>
      </c>
    </row>
    <row r="90" spans="1:4" ht="30" customHeight="1" x14ac:dyDescent="0.25">
      <c r="A90" s="5" t="s">
        <v>227</v>
      </c>
      <c r="C90" s="14">
        <v>1</v>
      </c>
      <c r="D90" s="14">
        <f t="shared" si="1"/>
        <v>0.08</v>
      </c>
    </row>
    <row r="91" spans="1:4" ht="30" customHeight="1" x14ac:dyDescent="0.25">
      <c r="A91" s="5" t="s">
        <v>228</v>
      </c>
      <c r="C91" s="14">
        <v>1</v>
      </c>
      <c r="D91" s="14">
        <f t="shared" si="1"/>
        <v>0.08</v>
      </c>
    </row>
    <row r="92" spans="1:4" ht="30" customHeight="1" x14ac:dyDescent="0.25">
      <c r="A92" s="5" t="s">
        <v>229</v>
      </c>
      <c r="C92" s="14">
        <v>1</v>
      </c>
      <c r="D92" s="14">
        <f t="shared" si="1"/>
        <v>0.08</v>
      </c>
    </row>
    <row r="93" spans="1:4" ht="30" customHeight="1" x14ac:dyDescent="0.25">
      <c r="A93" s="5" t="s">
        <v>230</v>
      </c>
      <c r="C93" s="14">
        <v>1</v>
      </c>
      <c r="D93" s="14">
        <f t="shared" si="1"/>
        <v>0.08</v>
      </c>
    </row>
    <row r="94" spans="1:4" ht="30" customHeight="1" x14ac:dyDescent="0.25">
      <c r="A94" s="5" t="s">
        <v>231</v>
      </c>
      <c r="C94" s="14">
        <v>1</v>
      </c>
      <c r="D94" s="14">
        <f t="shared" si="1"/>
        <v>0.08</v>
      </c>
    </row>
    <row r="95" spans="1:4" ht="30" customHeight="1" x14ac:dyDescent="0.25">
      <c r="A95" s="5" t="s">
        <v>232</v>
      </c>
      <c r="C95" s="14">
        <v>1</v>
      </c>
      <c r="D95" s="14">
        <f t="shared" si="1"/>
        <v>0.08</v>
      </c>
    </row>
    <row r="96" spans="1:4" ht="30" customHeight="1" x14ac:dyDescent="0.25">
      <c r="A96" s="5" t="s">
        <v>233</v>
      </c>
      <c r="C96" s="14">
        <v>1</v>
      </c>
      <c r="D96" s="14">
        <f t="shared" si="1"/>
        <v>0.08</v>
      </c>
    </row>
    <row r="97" spans="1:4" ht="30" customHeight="1" x14ac:dyDescent="0.25">
      <c r="A97" s="5" t="s">
        <v>234</v>
      </c>
      <c r="C97" s="14">
        <v>1</v>
      </c>
      <c r="D97" s="14">
        <f t="shared" si="1"/>
        <v>0.08</v>
      </c>
    </row>
    <row r="98" spans="1:4" ht="30" customHeight="1" x14ac:dyDescent="0.25">
      <c r="A98" s="5" t="s">
        <v>125</v>
      </c>
      <c r="C98" s="14">
        <v>1</v>
      </c>
      <c r="D98" s="14">
        <f t="shared" si="1"/>
        <v>0.08</v>
      </c>
    </row>
    <row r="99" spans="1:4" ht="30" customHeight="1" x14ac:dyDescent="0.25">
      <c r="A99" s="5" t="s">
        <v>126</v>
      </c>
      <c r="C99" s="14">
        <v>1</v>
      </c>
      <c r="D99" s="14">
        <f t="shared" si="1"/>
        <v>0.08</v>
      </c>
    </row>
    <row r="100" spans="1:4" ht="30" customHeight="1" x14ac:dyDescent="0.25">
      <c r="A100" s="5" t="s">
        <v>235</v>
      </c>
      <c r="C100" s="14">
        <v>1</v>
      </c>
      <c r="D100" s="14">
        <f t="shared" si="1"/>
        <v>0.08</v>
      </c>
    </row>
    <row r="101" spans="1:4" ht="30" customHeight="1" x14ac:dyDescent="0.25">
      <c r="A101" s="5" t="s">
        <v>127</v>
      </c>
      <c r="C101" s="14">
        <v>1</v>
      </c>
      <c r="D101" s="14">
        <f t="shared" si="1"/>
        <v>0.08</v>
      </c>
    </row>
    <row r="102" spans="1:4" ht="30" customHeight="1" x14ac:dyDescent="0.25">
      <c r="A102" s="5" t="s">
        <v>122</v>
      </c>
      <c r="C102" s="14">
        <v>1</v>
      </c>
      <c r="D102" s="14">
        <f t="shared" si="1"/>
        <v>0.08</v>
      </c>
    </row>
    <row r="103" spans="1:4" ht="30" customHeight="1" x14ac:dyDescent="0.25">
      <c r="A103" s="5" t="s">
        <v>236</v>
      </c>
      <c r="C103" s="14">
        <v>1</v>
      </c>
      <c r="D103" s="14">
        <f t="shared" si="1"/>
        <v>0.08</v>
      </c>
    </row>
    <row r="104" spans="1:4" ht="30" customHeight="1" x14ac:dyDescent="0.25">
      <c r="A104" s="5" t="s">
        <v>237</v>
      </c>
      <c r="C104" s="14">
        <v>1</v>
      </c>
      <c r="D104" s="14">
        <f t="shared" si="1"/>
        <v>0.08</v>
      </c>
    </row>
    <row r="105" spans="1:4" ht="30" customHeight="1" x14ac:dyDescent="0.25">
      <c r="A105" s="5" t="s">
        <v>238</v>
      </c>
      <c r="C105" s="14">
        <v>1</v>
      </c>
      <c r="D105" s="14">
        <f t="shared" si="1"/>
        <v>0.08</v>
      </c>
    </row>
    <row r="106" spans="1:4" ht="30" customHeight="1" x14ac:dyDescent="0.25">
      <c r="A106" s="5" t="s">
        <v>239</v>
      </c>
      <c r="C106" s="14">
        <v>1</v>
      </c>
      <c r="D106" s="14">
        <f t="shared" si="1"/>
        <v>0.08</v>
      </c>
    </row>
    <row r="107" spans="1:4" ht="30" customHeight="1" x14ac:dyDescent="0.25">
      <c r="A107" s="5" t="s">
        <v>240</v>
      </c>
      <c r="C107" s="14">
        <v>1</v>
      </c>
      <c r="D107" s="14">
        <f t="shared" si="1"/>
        <v>0.08</v>
      </c>
    </row>
    <row r="108" spans="1:4" ht="30" customHeight="1" x14ac:dyDescent="0.25">
      <c r="A108" s="5" t="s">
        <v>241</v>
      </c>
      <c r="C108" s="14">
        <v>1</v>
      </c>
      <c r="D108" s="14">
        <f t="shared" si="1"/>
        <v>0.08</v>
      </c>
    </row>
    <row r="109" spans="1:4" ht="30" customHeight="1" x14ac:dyDescent="0.25">
      <c r="A109" s="5" t="s">
        <v>242</v>
      </c>
      <c r="C109" s="14">
        <v>1</v>
      </c>
      <c r="D109" s="14">
        <f t="shared" si="1"/>
        <v>0.08</v>
      </c>
    </row>
    <row r="110" spans="1:4" ht="30" customHeight="1" x14ac:dyDescent="0.25">
      <c r="A110" s="5" t="s">
        <v>243</v>
      </c>
      <c r="C110" s="14">
        <v>1</v>
      </c>
      <c r="D110" s="14">
        <f t="shared" si="1"/>
        <v>0.08</v>
      </c>
    </row>
    <row r="111" spans="1:4" ht="30" customHeight="1" x14ac:dyDescent="0.25">
      <c r="A111" s="5" t="s">
        <v>244</v>
      </c>
      <c r="C111" s="14">
        <v>1</v>
      </c>
      <c r="D111" s="14">
        <f t="shared" si="1"/>
        <v>0.08</v>
      </c>
    </row>
    <row r="112" spans="1:4" ht="30" customHeight="1" x14ac:dyDescent="0.25">
      <c r="A112" s="5" t="s">
        <v>245</v>
      </c>
      <c r="C112" s="14">
        <v>1</v>
      </c>
      <c r="D112" s="14">
        <f t="shared" si="1"/>
        <v>0.08</v>
      </c>
    </row>
    <row r="113" spans="1:4" ht="30" customHeight="1" x14ac:dyDescent="0.25">
      <c r="A113" s="5" t="s">
        <v>246</v>
      </c>
      <c r="C113" s="14">
        <v>1</v>
      </c>
      <c r="D113" s="14">
        <f t="shared" si="1"/>
        <v>0.08</v>
      </c>
    </row>
    <row r="114" spans="1:4" ht="30" customHeight="1" x14ac:dyDescent="0.25">
      <c r="A114" s="5" t="s">
        <v>247</v>
      </c>
      <c r="C114" s="14">
        <v>1</v>
      </c>
      <c r="D114" s="14">
        <f t="shared" si="1"/>
        <v>0.08</v>
      </c>
    </row>
    <row r="115" spans="1:4" ht="30" customHeight="1" x14ac:dyDescent="0.25">
      <c r="A115" s="5" t="s">
        <v>248</v>
      </c>
      <c r="C115" s="14">
        <v>1</v>
      </c>
      <c r="D115" s="14">
        <f t="shared" si="1"/>
        <v>0.08</v>
      </c>
    </row>
    <row r="116" spans="1:4" ht="30" customHeight="1" x14ac:dyDescent="0.25">
      <c r="A116" s="5" t="s">
        <v>249</v>
      </c>
      <c r="C116" s="14">
        <v>1</v>
      </c>
      <c r="D116" s="14">
        <f t="shared" si="1"/>
        <v>0.08</v>
      </c>
    </row>
    <row r="117" spans="1:4" ht="30" customHeight="1" x14ac:dyDescent="0.25">
      <c r="A117" s="5" t="s">
        <v>129</v>
      </c>
      <c r="C117" s="14">
        <v>1</v>
      </c>
      <c r="D117" s="14">
        <f t="shared" si="1"/>
        <v>0.08</v>
      </c>
    </row>
    <row r="118" spans="1:4" ht="30" customHeight="1" x14ac:dyDescent="0.25">
      <c r="A118" s="5" t="s">
        <v>250</v>
      </c>
      <c r="C118" s="14">
        <v>1</v>
      </c>
      <c r="D118" s="14">
        <f t="shared" si="1"/>
        <v>0.08</v>
      </c>
    </row>
    <row r="119" spans="1:4" ht="30" customHeight="1" x14ac:dyDescent="0.25">
      <c r="A119" s="5" t="s">
        <v>251</v>
      </c>
      <c r="C119" s="14">
        <v>1</v>
      </c>
      <c r="D119" s="14">
        <f t="shared" si="1"/>
        <v>0.08</v>
      </c>
    </row>
    <row r="120" spans="1:4" ht="30" customHeight="1" x14ac:dyDescent="0.25">
      <c r="A120" s="5" t="s">
        <v>252</v>
      </c>
      <c r="C120" s="14">
        <v>1</v>
      </c>
      <c r="D120" s="14">
        <f t="shared" si="1"/>
        <v>0.08</v>
      </c>
    </row>
    <row r="121" spans="1:4" ht="30" customHeight="1" x14ac:dyDescent="0.25">
      <c r="A121" s="5" t="s">
        <v>253</v>
      </c>
      <c r="C121" s="14">
        <v>1</v>
      </c>
      <c r="D121" s="14">
        <f t="shared" si="1"/>
        <v>0.08</v>
      </c>
    </row>
    <row r="122" spans="1:4" ht="30" customHeight="1" x14ac:dyDescent="0.25">
      <c r="A122" s="5" t="s">
        <v>254</v>
      </c>
      <c r="C122" s="14">
        <v>1</v>
      </c>
      <c r="D122" s="14">
        <f t="shared" si="1"/>
        <v>0.08</v>
      </c>
    </row>
    <row r="123" spans="1:4" ht="30" customHeight="1" x14ac:dyDescent="0.25">
      <c r="A123" s="5" t="s">
        <v>255</v>
      </c>
      <c r="C123" s="14">
        <v>1</v>
      </c>
      <c r="D123" s="14">
        <f t="shared" si="1"/>
        <v>0.08</v>
      </c>
    </row>
    <row r="124" spans="1:4" ht="30" customHeight="1" x14ac:dyDescent="0.25">
      <c r="A124" s="5" t="s">
        <v>128</v>
      </c>
      <c r="C124" s="14">
        <v>1</v>
      </c>
      <c r="D124" s="14">
        <f t="shared" si="1"/>
        <v>0.08</v>
      </c>
    </row>
    <row r="125" spans="1:4" ht="30" customHeight="1" x14ac:dyDescent="0.25">
      <c r="A125" s="5" t="s">
        <v>256</v>
      </c>
      <c r="C125" s="14">
        <v>1</v>
      </c>
      <c r="D125" s="14">
        <f t="shared" si="1"/>
        <v>0.08</v>
      </c>
    </row>
    <row r="126" spans="1:4" ht="30" customHeight="1" x14ac:dyDescent="0.25">
      <c r="A126" s="5" t="s">
        <v>257</v>
      </c>
      <c r="C126" s="14">
        <v>1</v>
      </c>
      <c r="D126" s="14">
        <f t="shared" si="1"/>
        <v>0.08</v>
      </c>
    </row>
    <row r="127" spans="1:4" ht="30" customHeight="1" x14ac:dyDescent="0.25">
      <c r="A127" s="5" t="s">
        <v>258</v>
      </c>
      <c r="C127" s="14">
        <v>1</v>
      </c>
      <c r="D127" s="14">
        <f t="shared" si="1"/>
        <v>0.08</v>
      </c>
    </row>
    <row r="128" spans="1:4" ht="30" customHeight="1" x14ac:dyDescent="0.25">
      <c r="A128" s="5" t="s">
        <v>124</v>
      </c>
      <c r="C128" s="14">
        <v>1</v>
      </c>
      <c r="D128" s="14">
        <f t="shared" si="1"/>
        <v>0.08</v>
      </c>
    </row>
    <row r="129" spans="1:4" ht="30" customHeight="1" x14ac:dyDescent="0.25">
      <c r="A129" s="5" t="s">
        <v>259</v>
      </c>
      <c r="C129" s="14">
        <v>1</v>
      </c>
      <c r="D129" s="14">
        <f t="shared" si="1"/>
        <v>0.08</v>
      </c>
    </row>
    <row r="130" spans="1:4" ht="30" customHeight="1" x14ac:dyDescent="0.25">
      <c r="A130" s="5" t="s">
        <v>260</v>
      </c>
      <c r="C130" s="14">
        <v>1</v>
      </c>
      <c r="D130" s="14">
        <f t="shared" si="1"/>
        <v>0.08</v>
      </c>
    </row>
    <row r="131" spans="1:4" ht="30" customHeight="1" x14ac:dyDescent="0.25">
      <c r="A131" s="5" t="s">
        <v>261</v>
      </c>
      <c r="C131" s="14">
        <v>1</v>
      </c>
      <c r="D131" s="14">
        <f t="shared" si="1"/>
        <v>0.08</v>
      </c>
    </row>
    <row r="132" spans="1:4" ht="30" customHeight="1" x14ac:dyDescent="0.25">
      <c r="A132" s="5" t="s">
        <v>262</v>
      </c>
      <c r="C132" s="14">
        <v>1</v>
      </c>
      <c r="D132" s="14">
        <f t="shared" si="1"/>
        <v>0.08</v>
      </c>
    </row>
    <row r="133" spans="1:4" ht="30" customHeight="1" x14ac:dyDescent="0.25">
      <c r="A133" s="5" t="s">
        <v>263</v>
      </c>
      <c r="C133" s="14">
        <v>1</v>
      </c>
      <c r="D133" s="14">
        <f t="shared" si="1"/>
        <v>0.08</v>
      </c>
    </row>
    <row r="134" spans="1:4" ht="30" customHeight="1" x14ac:dyDescent="0.25">
      <c r="A134" s="5" t="s">
        <v>264</v>
      </c>
      <c r="C134" s="14">
        <v>1</v>
      </c>
      <c r="D134" s="14">
        <f t="shared" ref="D134:D172" si="2">C134*$F$1</f>
        <v>0.08</v>
      </c>
    </row>
    <row r="135" spans="1:4" ht="30" customHeight="1" x14ac:dyDescent="0.25">
      <c r="A135" s="5" t="s">
        <v>123</v>
      </c>
      <c r="C135" s="14">
        <v>1</v>
      </c>
      <c r="D135" s="14">
        <f t="shared" si="2"/>
        <v>0.08</v>
      </c>
    </row>
    <row r="136" spans="1:4" ht="30" customHeight="1" x14ac:dyDescent="0.25">
      <c r="A136" s="5" t="s">
        <v>121</v>
      </c>
      <c r="C136" s="14">
        <v>1</v>
      </c>
      <c r="D136" s="14">
        <f t="shared" si="2"/>
        <v>0.08</v>
      </c>
    </row>
    <row r="137" spans="1:4" ht="30" customHeight="1" x14ac:dyDescent="0.25">
      <c r="A137" s="5" t="s">
        <v>265</v>
      </c>
      <c r="C137" s="14">
        <v>1</v>
      </c>
      <c r="D137" s="14">
        <f t="shared" si="2"/>
        <v>0.08</v>
      </c>
    </row>
    <row r="138" spans="1:4" ht="30" customHeight="1" x14ac:dyDescent="0.25">
      <c r="A138" s="5" t="s">
        <v>266</v>
      </c>
      <c r="C138" s="14">
        <v>1</v>
      </c>
      <c r="D138" s="14">
        <f t="shared" si="2"/>
        <v>0.08</v>
      </c>
    </row>
    <row r="139" spans="1:4" ht="30" customHeight="1" x14ac:dyDescent="0.25">
      <c r="A139" s="5" t="s">
        <v>267</v>
      </c>
      <c r="C139" s="14">
        <v>1</v>
      </c>
      <c r="D139" s="14">
        <f t="shared" si="2"/>
        <v>0.08</v>
      </c>
    </row>
    <row r="140" spans="1:4" ht="30" customHeight="1" x14ac:dyDescent="0.25">
      <c r="A140" s="5" t="s">
        <v>119</v>
      </c>
      <c r="C140" s="14">
        <v>1</v>
      </c>
      <c r="D140" s="14">
        <f t="shared" si="2"/>
        <v>0.08</v>
      </c>
    </row>
    <row r="141" spans="1:4" ht="30" customHeight="1" x14ac:dyDescent="0.25">
      <c r="A141" s="5" t="s">
        <v>268</v>
      </c>
      <c r="C141" s="14">
        <v>1</v>
      </c>
      <c r="D141" s="14">
        <f t="shared" si="2"/>
        <v>0.08</v>
      </c>
    </row>
    <row r="142" spans="1:4" ht="30" customHeight="1" x14ac:dyDescent="0.25">
      <c r="A142" s="5" t="s">
        <v>106</v>
      </c>
      <c r="C142" s="14">
        <v>1</v>
      </c>
      <c r="D142" s="14">
        <f t="shared" si="2"/>
        <v>0.08</v>
      </c>
    </row>
    <row r="143" spans="1:4" ht="30" customHeight="1" x14ac:dyDescent="0.25">
      <c r="A143" s="5" t="s">
        <v>118</v>
      </c>
      <c r="C143" s="14">
        <v>1</v>
      </c>
      <c r="D143" s="14">
        <f t="shared" si="2"/>
        <v>0.08</v>
      </c>
    </row>
    <row r="144" spans="1:4" ht="30" customHeight="1" x14ac:dyDescent="0.25">
      <c r="A144" s="5" t="s">
        <v>269</v>
      </c>
      <c r="C144" s="14">
        <v>1</v>
      </c>
      <c r="D144" s="14">
        <f t="shared" si="2"/>
        <v>0.08</v>
      </c>
    </row>
    <row r="145" spans="1:4" ht="30" customHeight="1" x14ac:dyDescent="0.25">
      <c r="A145" s="5" t="s">
        <v>270</v>
      </c>
      <c r="C145" s="14">
        <v>1</v>
      </c>
      <c r="D145" s="14">
        <f t="shared" si="2"/>
        <v>0.08</v>
      </c>
    </row>
    <row r="146" spans="1:4" ht="30" customHeight="1" x14ac:dyDescent="0.25">
      <c r="A146" s="5" t="s">
        <v>271</v>
      </c>
      <c r="C146" s="14">
        <v>1</v>
      </c>
      <c r="D146" s="14">
        <f t="shared" si="2"/>
        <v>0.08</v>
      </c>
    </row>
    <row r="147" spans="1:4" ht="30" customHeight="1" x14ac:dyDescent="0.25">
      <c r="A147" s="5" t="s">
        <v>272</v>
      </c>
      <c r="C147" s="14">
        <v>1</v>
      </c>
      <c r="D147" s="14">
        <f t="shared" si="2"/>
        <v>0.08</v>
      </c>
    </row>
    <row r="148" spans="1:4" ht="30" customHeight="1" x14ac:dyDescent="0.25">
      <c r="A148" s="5" t="s">
        <v>273</v>
      </c>
      <c r="C148" s="14">
        <v>1</v>
      </c>
      <c r="D148" s="14">
        <f t="shared" si="2"/>
        <v>0.08</v>
      </c>
    </row>
    <row r="149" spans="1:4" ht="30" customHeight="1" x14ac:dyDescent="0.25">
      <c r="A149" s="5" t="s">
        <v>115</v>
      </c>
      <c r="C149" s="14">
        <v>1</v>
      </c>
      <c r="D149" s="14">
        <f t="shared" si="2"/>
        <v>0.08</v>
      </c>
    </row>
    <row r="150" spans="1:4" ht="30" customHeight="1" x14ac:dyDescent="0.25">
      <c r="A150" s="5" t="s">
        <v>116</v>
      </c>
      <c r="C150" s="14">
        <v>1</v>
      </c>
      <c r="D150" s="14">
        <f t="shared" si="2"/>
        <v>0.08</v>
      </c>
    </row>
    <row r="151" spans="1:4" ht="30" customHeight="1" x14ac:dyDescent="0.25">
      <c r="A151" s="5" t="s">
        <v>114</v>
      </c>
      <c r="C151" s="14">
        <v>1</v>
      </c>
      <c r="D151" s="14">
        <f t="shared" si="2"/>
        <v>0.08</v>
      </c>
    </row>
    <row r="152" spans="1:4" ht="30" customHeight="1" x14ac:dyDescent="0.25">
      <c r="A152" s="5" t="s">
        <v>274</v>
      </c>
      <c r="C152" s="14">
        <v>1</v>
      </c>
      <c r="D152" s="14">
        <f t="shared" si="2"/>
        <v>0.08</v>
      </c>
    </row>
    <row r="153" spans="1:4" ht="30" customHeight="1" x14ac:dyDescent="0.25">
      <c r="A153" s="5" t="s">
        <v>275</v>
      </c>
      <c r="C153" s="14">
        <v>1</v>
      </c>
      <c r="D153" s="14">
        <f t="shared" si="2"/>
        <v>0.08</v>
      </c>
    </row>
    <row r="154" spans="1:4" ht="30" customHeight="1" x14ac:dyDescent="0.25">
      <c r="A154" s="5" t="s">
        <v>276</v>
      </c>
      <c r="C154" s="14">
        <v>1</v>
      </c>
      <c r="D154" s="14">
        <f t="shared" si="2"/>
        <v>0.08</v>
      </c>
    </row>
    <row r="155" spans="1:4" ht="30" customHeight="1" x14ac:dyDescent="0.25">
      <c r="A155" s="5" t="s">
        <v>277</v>
      </c>
      <c r="C155" s="14">
        <v>1</v>
      </c>
      <c r="D155" s="14">
        <f t="shared" si="2"/>
        <v>0.08</v>
      </c>
    </row>
    <row r="156" spans="1:4" ht="30" customHeight="1" x14ac:dyDescent="0.25">
      <c r="A156" s="5" t="s">
        <v>278</v>
      </c>
      <c r="C156" s="14">
        <v>1</v>
      </c>
      <c r="D156" s="14">
        <f t="shared" si="2"/>
        <v>0.08</v>
      </c>
    </row>
    <row r="157" spans="1:4" ht="30" customHeight="1" x14ac:dyDescent="0.25">
      <c r="A157" s="5" t="s">
        <v>279</v>
      </c>
      <c r="C157" s="14">
        <v>1</v>
      </c>
      <c r="D157" s="14">
        <f t="shared" si="2"/>
        <v>0.08</v>
      </c>
    </row>
    <row r="158" spans="1:4" ht="30" customHeight="1" x14ac:dyDescent="0.25">
      <c r="A158" s="5" t="s">
        <v>280</v>
      </c>
      <c r="C158" s="14">
        <v>1</v>
      </c>
      <c r="D158" s="14">
        <f t="shared" si="2"/>
        <v>0.08</v>
      </c>
    </row>
    <row r="159" spans="1:4" ht="30" customHeight="1" x14ac:dyDescent="0.25">
      <c r="A159" s="5" t="s">
        <v>281</v>
      </c>
      <c r="C159" s="14">
        <v>1</v>
      </c>
      <c r="D159" s="14">
        <f t="shared" si="2"/>
        <v>0.08</v>
      </c>
    </row>
    <row r="160" spans="1:4" ht="30" customHeight="1" x14ac:dyDescent="0.25">
      <c r="A160" s="5" t="s">
        <v>282</v>
      </c>
      <c r="C160" s="14">
        <v>1</v>
      </c>
      <c r="D160" s="14">
        <f t="shared" si="2"/>
        <v>0.08</v>
      </c>
    </row>
    <row r="161" spans="1:4" ht="30" customHeight="1" x14ac:dyDescent="0.25">
      <c r="A161" s="5" t="s">
        <v>283</v>
      </c>
      <c r="C161" s="14">
        <v>1</v>
      </c>
      <c r="D161" s="14">
        <f t="shared" si="2"/>
        <v>0.08</v>
      </c>
    </row>
    <row r="162" spans="1:4" ht="30" customHeight="1" x14ac:dyDescent="0.25">
      <c r="A162" s="5" t="s">
        <v>284</v>
      </c>
      <c r="C162" s="14">
        <v>1</v>
      </c>
      <c r="D162" s="14">
        <f t="shared" si="2"/>
        <v>0.08</v>
      </c>
    </row>
    <row r="163" spans="1:4" ht="30" customHeight="1" x14ac:dyDescent="0.25">
      <c r="A163" s="5" t="s">
        <v>285</v>
      </c>
      <c r="C163" s="14">
        <v>1</v>
      </c>
      <c r="D163" s="14">
        <f t="shared" si="2"/>
        <v>0.08</v>
      </c>
    </row>
    <row r="164" spans="1:4" ht="30" customHeight="1" x14ac:dyDescent="0.25">
      <c r="A164" s="5" t="s">
        <v>286</v>
      </c>
      <c r="C164" s="14">
        <v>1</v>
      </c>
      <c r="D164" s="14">
        <f t="shared" si="2"/>
        <v>0.08</v>
      </c>
    </row>
    <row r="165" spans="1:4" ht="30" customHeight="1" x14ac:dyDescent="0.25">
      <c r="A165" s="5" t="s">
        <v>287</v>
      </c>
      <c r="C165" s="14">
        <v>1</v>
      </c>
      <c r="D165" s="14">
        <f t="shared" si="2"/>
        <v>0.08</v>
      </c>
    </row>
    <row r="166" spans="1:4" ht="30" customHeight="1" x14ac:dyDescent="0.25">
      <c r="A166" s="5" t="s">
        <v>288</v>
      </c>
      <c r="C166" s="14">
        <v>1</v>
      </c>
      <c r="D166" s="14">
        <f t="shared" si="2"/>
        <v>0.08</v>
      </c>
    </row>
    <row r="167" spans="1:4" ht="30" customHeight="1" x14ac:dyDescent="0.25">
      <c r="A167" s="5" t="s">
        <v>289</v>
      </c>
      <c r="C167" s="14">
        <v>1</v>
      </c>
      <c r="D167" s="14">
        <f t="shared" si="2"/>
        <v>0.08</v>
      </c>
    </row>
    <row r="168" spans="1:4" ht="30" customHeight="1" x14ac:dyDescent="0.25">
      <c r="A168" s="5" t="s">
        <v>290</v>
      </c>
      <c r="C168" s="14">
        <v>1</v>
      </c>
      <c r="D168" s="14">
        <f t="shared" si="2"/>
        <v>0.08</v>
      </c>
    </row>
    <row r="169" spans="1:4" ht="30" customHeight="1" x14ac:dyDescent="0.25">
      <c r="A169" s="5" t="s">
        <v>111</v>
      </c>
      <c r="C169" s="14">
        <v>1</v>
      </c>
      <c r="D169" s="14">
        <f t="shared" si="2"/>
        <v>0.08</v>
      </c>
    </row>
    <row r="170" spans="1:4" ht="30" customHeight="1" x14ac:dyDescent="0.25">
      <c r="A170" s="5" t="s">
        <v>291</v>
      </c>
      <c r="C170" s="14">
        <v>1</v>
      </c>
      <c r="D170" s="14">
        <f t="shared" si="2"/>
        <v>0.08</v>
      </c>
    </row>
    <row r="171" spans="1:4" ht="30" customHeight="1" x14ac:dyDescent="0.25">
      <c r="A171" s="5" t="s">
        <v>110</v>
      </c>
      <c r="C171" s="14">
        <v>1</v>
      </c>
      <c r="D171" s="14">
        <f t="shared" si="2"/>
        <v>0.08</v>
      </c>
    </row>
    <row r="172" spans="1:4" ht="30" customHeight="1" x14ac:dyDescent="0.25">
      <c r="A172" s="64" t="s">
        <v>0</v>
      </c>
      <c r="C172" s="14">
        <v>2</v>
      </c>
      <c r="D172" s="14">
        <f t="shared" si="2"/>
        <v>0.16</v>
      </c>
    </row>
  </sheetData>
  <conditionalFormatting sqref="A1:A1048576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4C03E-C92A-404E-A7F8-7F5946429BE7}">
  <sheetPr codeName="Лист3"/>
  <dimension ref="A1:W9"/>
  <sheetViews>
    <sheetView workbookViewId="0">
      <selection activeCell="B9" sqref="B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8" t="s">
        <v>150</v>
      </c>
      <c r="B1" s="138" t="s">
        <v>151</v>
      </c>
      <c r="C1" s="139"/>
      <c r="D1" s="138" t="s">
        <v>152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</row>
    <row r="2" spans="1:23" s="28" customFormat="1" ht="30" customHeight="1" x14ac:dyDescent="0.25">
      <c r="A2" s="138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1</v>
      </c>
      <c r="E4" s="29" t="s">
        <v>11</v>
      </c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1</v>
      </c>
      <c r="E5" s="29" t="s">
        <v>11</v>
      </c>
      <c r="F5" s="29">
        <v>0</v>
      </c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1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dataConsolidate/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764F-C41C-413C-8C48-6F0B71F5D781}">
  <sheetPr codeName="Лист4"/>
  <dimension ref="A1:W9"/>
  <sheetViews>
    <sheetView workbookViewId="0">
      <selection activeCell="G7" sqref="G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8" t="s">
        <v>150</v>
      </c>
      <c r="B1" s="138" t="s">
        <v>151</v>
      </c>
      <c r="C1" s="139"/>
      <c r="D1" s="138" t="s">
        <v>152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</row>
    <row r="2" spans="1:23" s="28" customFormat="1" ht="30" customHeight="1" x14ac:dyDescent="0.25">
      <c r="A2" s="138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>
        <v>0</v>
      </c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FF3C2-B073-42F4-8404-1CFA08913149}">
  <sheetPr codeName="Лист7"/>
  <dimension ref="A1:W9"/>
  <sheetViews>
    <sheetView workbookViewId="0">
      <selection activeCell="I5" sqref="I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8" t="s">
        <v>150</v>
      </c>
      <c r="B1" s="138" t="s">
        <v>151</v>
      </c>
      <c r="C1" s="139"/>
      <c r="D1" s="138" t="s">
        <v>152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</row>
    <row r="2" spans="1:23" s="28" customFormat="1" ht="30" customHeight="1" x14ac:dyDescent="0.25">
      <c r="A2" s="138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7F6AC-ECC6-43A9-A348-BC2A6AF21F7F}">
  <sheetPr codeName="Лист10"/>
  <dimension ref="A1:W9"/>
  <sheetViews>
    <sheetView workbookViewId="0">
      <selection activeCell="E16" sqref="E1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8" t="s">
        <v>150</v>
      </c>
      <c r="B1" s="138" t="s">
        <v>151</v>
      </c>
      <c r="C1" s="139"/>
      <c r="D1" s="138" t="s">
        <v>152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</row>
    <row r="2" spans="1:23" s="28" customFormat="1" ht="30" customHeight="1" x14ac:dyDescent="0.25">
      <c r="A2" s="138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66A19-E64C-465E-89FD-7E5C9C774DEF}">
  <sheetPr codeName="Лист8"/>
  <dimension ref="A1:W9"/>
  <sheetViews>
    <sheetView workbookViewId="0">
      <selection activeCell="E5" sqref="E4:O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8" t="s">
        <v>150</v>
      </c>
      <c r="B1" s="138" t="s">
        <v>151</v>
      </c>
      <c r="C1" s="139"/>
      <c r="D1" s="138" t="s">
        <v>152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</row>
    <row r="2" spans="1:23" s="28" customFormat="1" ht="30" customHeight="1" x14ac:dyDescent="0.25">
      <c r="A2" s="138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68E15-C56E-4569-B2F7-F2771220D2CD}">
  <sheetPr codeName="Лист9"/>
  <dimension ref="A1:W9"/>
  <sheetViews>
    <sheetView workbookViewId="0">
      <selection activeCell="A8" sqref="A8:XFD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8" t="s">
        <v>150</v>
      </c>
      <c r="B1" s="138" t="s">
        <v>151</v>
      </c>
      <c r="C1" s="139"/>
      <c r="D1" s="138" t="s">
        <v>152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</row>
    <row r="2" spans="1:23" s="28" customFormat="1" ht="30" customHeight="1" x14ac:dyDescent="0.25">
      <c r="A2" s="138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A4840-B946-4CAF-A521-1C6E2D62BD21}">
  <sheetPr codeName="Лист11"/>
  <dimension ref="A1:W9"/>
  <sheetViews>
    <sheetView workbookViewId="0">
      <selection activeCell="C4" sqref="C4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8" t="s">
        <v>150</v>
      </c>
      <c r="B1" s="138" t="s">
        <v>151</v>
      </c>
      <c r="C1" s="139"/>
      <c r="D1" s="138" t="s">
        <v>152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</row>
    <row r="2" spans="1:23" s="28" customFormat="1" ht="30" customHeight="1" x14ac:dyDescent="0.25">
      <c r="A2" s="138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0.15</v>
      </c>
      <c r="C3" s="29">
        <v>0.15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65C05-2FA7-4972-9EE2-269A3B98B91C}">
  <sheetPr codeName="Лист12"/>
  <dimension ref="A1:W9"/>
  <sheetViews>
    <sheetView workbookViewId="0">
      <selection activeCell="G20" sqref="G20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8" t="s">
        <v>150</v>
      </c>
      <c r="B1" s="138" t="s">
        <v>151</v>
      </c>
      <c r="C1" s="139"/>
      <c r="D1" s="138" t="s">
        <v>152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</row>
    <row r="2" spans="1:23" s="28" customFormat="1" ht="30" customHeight="1" x14ac:dyDescent="0.25">
      <c r="A2" s="138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52E70-A3D1-4CDB-933B-D544F5F80815}">
  <sheetPr codeName="Лист13"/>
  <dimension ref="A1:W9"/>
  <sheetViews>
    <sheetView workbookViewId="0">
      <selection activeCell="G9" sqref="G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8" t="s">
        <v>150</v>
      </c>
      <c r="B1" s="138" t="s">
        <v>151</v>
      </c>
      <c r="C1" s="139"/>
      <c r="D1" s="138" t="s">
        <v>152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</row>
    <row r="2" spans="1:23" s="28" customFormat="1" ht="30" customHeight="1" x14ac:dyDescent="0.25">
      <c r="A2" s="138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1485-1498-4544-BFA6-303626EEA405}">
  <sheetPr codeName="Лист14"/>
  <dimension ref="A1:W9"/>
  <sheetViews>
    <sheetView workbookViewId="0">
      <selection activeCell="K20" sqref="K20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8" t="s">
        <v>150</v>
      </c>
      <c r="B1" s="138" t="s">
        <v>151</v>
      </c>
      <c r="C1" s="139"/>
      <c r="D1" s="138" t="s">
        <v>152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</row>
    <row r="2" spans="1:23" s="28" customFormat="1" ht="30" customHeight="1" x14ac:dyDescent="0.25">
      <c r="A2" s="138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F47D-51D2-436B-A4DC-E9849DAA2AB4}">
  <sheetPr codeName="Лист15"/>
  <dimension ref="A1:W9"/>
  <sheetViews>
    <sheetView workbookViewId="0">
      <selection activeCell="N17" sqref="N1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8" t="s">
        <v>150</v>
      </c>
      <c r="B1" s="138" t="s">
        <v>151</v>
      </c>
      <c r="C1" s="139"/>
      <c r="D1" s="138" t="s">
        <v>152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</row>
    <row r="2" spans="1:23" s="28" customFormat="1" ht="30" customHeight="1" x14ac:dyDescent="0.25">
      <c r="A2" s="138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09E4A-564B-4080-A6D1-7BDEE63FC2B7}">
  <sheetPr codeName="Лист16"/>
  <dimension ref="A1:W9"/>
  <sheetViews>
    <sheetView workbookViewId="0">
      <selection activeCell="D8" sqref="D8:R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8" t="s">
        <v>150</v>
      </c>
      <c r="B1" s="138" t="s">
        <v>151</v>
      </c>
      <c r="C1" s="139"/>
      <c r="D1" s="138" t="s">
        <v>152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</row>
    <row r="2" spans="1:23" s="28" customFormat="1" ht="30" customHeight="1" x14ac:dyDescent="0.25">
      <c r="A2" s="138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0.2</v>
      </c>
      <c r="C3" s="29">
        <v>1.5</v>
      </c>
      <c r="D3" s="29">
        <v>0.1</v>
      </c>
      <c r="E3" s="29" t="s">
        <v>34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2B91-4D39-45C2-93F4-9B08A77EE382}">
  <sheetPr codeName="Лист17"/>
  <dimension ref="A1:W9"/>
  <sheetViews>
    <sheetView workbookViewId="0">
      <selection activeCell="E8" sqref="E8:S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8" t="s">
        <v>150</v>
      </c>
      <c r="B1" s="138" t="s">
        <v>151</v>
      </c>
      <c r="C1" s="139"/>
      <c r="D1" s="138" t="s">
        <v>152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</row>
    <row r="2" spans="1:23" s="28" customFormat="1" ht="30" customHeight="1" x14ac:dyDescent="0.25">
      <c r="A2" s="138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</v>
      </c>
      <c r="C3" s="29">
        <v>100000</v>
      </c>
      <c r="D3" s="1">
        <v>0.01</v>
      </c>
      <c r="E3" s="29" t="s">
        <v>34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2F72B-A421-4783-9C2F-26596D338587}">
  <sheetPr codeName="Лист18"/>
  <dimension ref="A1:W9"/>
  <sheetViews>
    <sheetView workbookViewId="0">
      <selection activeCell="B3" sqref="B3:N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8" t="s">
        <v>150</v>
      </c>
      <c r="B1" s="138" t="s">
        <v>151</v>
      </c>
      <c r="C1" s="139"/>
      <c r="D1" s="138" t="s">
        <v>152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</row>
    <row r="2" spans="1:23" s="28" customFormat="1" ht="30" customHeight="1" x14ac:dyDescent="0.25">
      <c r="A2" s="138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0.08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B74CC-8DD6-4EF9-926A-C83B9F0B18F0}">
  <sheetPr codeName="Лист19"/>
  <dimension ref="A1:W9"/>
  <sheetViews>
    <sheetView workbookViewId="0">
      <selection activeCell="D5" sqref="D5:M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8" t="s">
        <v>150</v>
      </c>
      <c r="B1" s="138" t="s">
        <v>151</v>
      </c>
      <c r="C1" s="139"/>
      <c r="D1" s="138" t="s">
        <v>152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</row>
    <row r="2" spans="1:23" s="28" customFormat="1" ht="30" customHeight="1" x14ac:dyDescent="0.25">
      <c r="A2" s="138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0.08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B1817-B7D4-4B73-88E6-259F00CC135D}">
  <sheetPr codeName="Лист20"/>
  <dimension ref="A1:W9"/>
  <sheetViews>
    <sheetView workbookViewId="0">
      <selection activeCell="F7" sqref="F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8" t="s">
        <v>150</v>
      </c>
      <c r="B1" s="138" t="s">
        <v>151</v>
      </c>
      <c r="C1" s="139"/>
      <c r="D1" s="138" t="s">
        <v>152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</row>
    <row r="2" spans="1:23" s="28" customFormat="1" ht="30" customHeight="1" x14ac:dyDescent="0.25">
      <c r="A2" s="138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100000</v>
      </c>
      <c r="D3" s="1">
        <v>0.75</v>
      </c>
      <c r="E3" s="1" t="s">
        <v>11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1A857-9F36-443F-98F0-C8F43B603853}">
  <sheetPr codeName="Лист21"/>
  <dimension ref="A1:W9"/>
  <sheetViews>
    <sheetView workbookViewId="0">
      <selection activeCell="B3" sqref="B3:J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8" t="s">
        <v>150</v>
      </c>
      <c r="B1" s="138" t="s">
        <v>151</v>
      </c>
      <c r="C1" s="139"/>
      <c r="D1" s="138" t="s">
        <v>152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</row>
    <row r="2" spans="1:23" s="28" customFormat="1" ht="30" customHeight="1" x14ac:dyDescent="0.25">
      <c r="A2" s="138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91091-7910-48ED-8399-D6177DF5238F}">
  <sheetPr codeName="Лист22"/>
  <dimension ref="A1:W9"/>
  <sheetViews>
    <sheetView workbookViewId="0">
      <selection activeCell="Q3" sqref="Q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8" t="s">
        <v>150</v>
      </c>
      <c r="B1" s="138" t="s">
        <v>151</v>
      </c>
      <c r="C1" s="139"/>
      <c r="D1" s="138" t="s">
        <v>152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</row>
    <row r="2" spans="1:23" s="28" customFormat="1" ht="30" customHeight="1" x14ac:dyDescent="0.25">
      <c r="A2" s="138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0BEE0-44D8-456E-8944-82935B8509C0}">
  <sheetPr codeName="Лист23"/>
  <dimension ref="A1:W9"/>
  <sheetViews>
    <sheetView workbookViewId="0">
      <selection activeCell="G6" sqref="G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8" t="s">
        <v>150</v>
      </c>
      <c r="B1" s="138" t="s">
        <v>151</v>
      </c>
      <c r="C1" s="139"/>
      <c r="D1" s="138" t="s">
        <v>152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</row>
    <row r="2" spans="1:23" s="28" customFormat="1" ht="30" customHeight="1" x14ac:dyDescent="0.25">
      <c r="A2" s="138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A54AA-EA43-483D-99D1-F289C3E56291}">
  <sheetPr codeName="Лист24"/>
  <dimension ref="A1:W9"/>
  <sheetViews>
    <sheetView workbookViewId="0">
      <selection activeCell="E16" sqref="E1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8" t="s">
        <v>150</v>
      </c>
      <c r="B1" s="138" t="s">
        <v>151</v>
      </c>
      <c r="C1" s="139"/>
      <c r="D1" s="138" t="s">
        <v>152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</row>
    <row r="2" spans="1:23" s="28" customFormat="1" ht="30" customHeight="1" x14ac:dyDescent="0.25">
      <c r="A2" s="138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043D-3151-49FE-9B03-2BFAB29B0E83}">
  <sheetPr codeName="Лист25"/>
  <dimension ref="A1:W9"/>
  <sheetViews>
    <sheetView workbookViewId="0">
      <selection activeCell="E9" sqref="E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8" t="s">
        <v>150</v>
      </c>
      <c r="B1" s="138" t="s">
        <v>151</v>
      </c>
      <c r="C1" s="139"/>
      <c r="D1" s="138" t="s">
        <v>152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</row>
    <row r="2" spans="1:23" s="28" customFormat="1" ht="30" customHeight="1" x14ac:dyDescent="0.25">
      <c r="A2" s="138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25</vt:i4>
      </vt:variant>
      <vt:variant>
        <vt:lpstr>Именованные диапазоны</vt:lpstr>
      </vt:variant>
      <vt:variant>
        <vt:i4>1</vt:i4>
      </vt:variant>
    </vt:vector>
  </HeadingPairs>
  <TitlesOfParts>
    <vt:vector size="26" baseType="lpstr">
      <vt:lpstr>НТД</vt:lpstr>
      <vt:lpstr>Типы</vt:lpstr>
      <vt:lpstr>Расчет</vt:lpstr>
      <vt:lpstr>ПКИ (оценка)</vt:lpstr>
      <vt:lpstr>Изделие</vt:lpstr>
      <vt:lpstr>Подкомплекс</vt:lpstr>
      <vt:lpstr>АРМ</vt:lpstr>
      <vt:lpstr>АФС</vt:lpstr>
      <vt:lpstr>Сборка механическая</vt:lpstr>
      <vt:lpstr>Сборка мех (не разборная)</vt:lpstr>
      <vt:lpstr>Сборка мех. (ПКИ)</vt:lpstr>
      <vt:lpstr>Сборка электрическая</vt:lpstr>
      <vt:lpstr>Сборка эл. с настройкой</vt:lpstr>
      <vt:lpstr>Электрический узел</vt:lpstr>
      <vt:lpstr>Механический узел</vt:lpstr>
      <vt:lpstr>Кабель</vt:lpstr>
      <vt:lpstr>Плата или ячейка</vt:lpstr>
      <vt:lpstr>Деталь</vt:lpstr>
      <vt:lpstr>Деталь (ПКИ)</vt:lpstr>
      <vt:lpstr>ПКИ</vt:lpstr>
      <vt:lpstr>СПО</vt:lpstr>
      <vt:lpstr>Комплект</vt:lpstr>
      <vt:lpstr>ЗИП</vt:lpstr>
      <vt:lpstr>Упаковка</vt:lpstr>
      <vt:lpstr>ЭД</vt:lpstr>
      <vt:lpstr>НТД!Print_Area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2024-07-24T08:21:59Z</dcterms:modified>
</cp:coreProperties>
</file>